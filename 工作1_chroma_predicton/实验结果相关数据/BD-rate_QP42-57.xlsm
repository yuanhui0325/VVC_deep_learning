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毕业论文第一部分\实验1结果\论文结果相关数据\"/>
    </mc:Choice>
  </mc:AlternateContent>
  <bookViews>
    <workbookView xWindow="6780" yWindow="-120" windowWidth="29040" windowHeight="15840" tabRatio="884"/>
  </bookViews>
  <sheets>
    <sheet name="Summary" sheetId="1" r:id="rId1"/>
    <sheet name="Plot" sheetId="2" r:id="rId2"/>
    <sheet name="AI-10" sheetId="3" r:id="rId3"/>
    <sheet name="RA-10" sheetId="4" r:id="rId4"/>
    <sheet name="LDB-10" sheetId="5" r:id="rId5"/>
    <sheet name="LDP-10" sheetId="6" r:id="rId6"/>
    <sheet name="Reference" sheetId="7" r:id="rId7"/>
    <sheet name="Test" sheetId="8" r:id="rId8"/>
  </sheets>
  <functionGroups builtInGroupCount="18"/>
  <definedNames>
    <definedName name="_xlnm._FilterDatabase" localSheetId="1" hidden="1">Plot!$A$1:$B$2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1" l="1"/>
  <c r="L48" i="4" l="1"/>
  <c r="M48" i="4"/>
  <c r="N48" i="4"/>
  <c r="O48" i="4"/>
  <c r="L49" i="4"/>
  <c r="M49" i="4"/>
  <c r="N49" i="4"/>
  <c r="O49" i="4"/>
  <c r="L50" i="4"/>
  <c r="M50" i="4"/>
  <c r="N50" i="4"/>
  <c r="O50" i="4"/>
  <c r="L47" i="4"/>
  <c r="M47" i="4"/>
  <c r="N47" i="4"/>
  <c r="O47" i="4"/>
  <c r="V51" i="4"/>
  <c r="V47" i="4"/>
  <c r="V59" i="4"/>
  <c r="W55" i="4"/>
  <c r="X47" i="4"/>
  <c r="X55" i="4"/>
  <c r="X51" i="4"/>
  <c r="W51" i="4"/>
  <c r="V55" i="4"/>
  <c r="V27" i="3"/>
  <c r="V43" i="4"/>
  <c r="V39" i="4"/>
  <c r="Q106" i="6" l="1"/>
  <c r="P106" i="6"/>
  <c r="R106" i="6" s="1"/>
  <c r="O106" i="6"/>
  <c r="N106" i="6"/>
  <c r="M106" i="6"/>
  <c r="L106" i="6"/>
  <c r="I106" i="6"/>
  <c r="H106" i="6"/>
  <c r="J106" i="6" s="1"/>
  <c r="G106" i="6"/>
  <c r="F106" i="6"/>
  <c r="E106" i="6"/>
  <c r="D106" i="6"/>
  <c r="Q105" i="6"/>
  <c r="P105" i="6"/>
  <c r="R105" i="6" s="1"/>
  <c r="O105" i="6"/>
  <c r="N105" i="6"/>
  <c r="M105" i="6"/>
  <c r="L105" i="6"/>
  <c r="I105" i="6"/>
  <c r="H105" i="6"/>
  <c r="J105" i="6" s="1"/>
  <c r="G105" i="6"/>
  <c r="F105" i="6"/>
  <c r="E105" i="6"/>
  <c r="D105" i="6"/>
  <c r="Q104" i="6"/>
  <c r="P104" i="6"/>
  <c r="O104" i="6"/>
  <c r="N104" i="6"/>
  <c r="M104" i="6"/>
  <c r="L104" i="6"/>
  <c r="I104" i="6"/>
  <c r="H104" i="6"/>
  <c r="J104" i="6" s="1"/>
  <c r="G104" i="6"/>
  <c r="F104" i="6"/>
  <c r="E104" i="6"/>
  <c r="D104" i="6"/>
  <c r="Q103" i="6"/>
  <c r="P103" i="6"/>
  <c r="O103" i="6"/>
  <c r="N103" i="6"/>
  <c r="M103" i="6"/>
  <c r="L103" i="6"/>
  <c r="I103" i="6"/>
  <c r="H103" i="6"/>
  <c r="J103" i="6" s="1"/>
  <c r="G103" i="6"/>
  <c r="F103" i="6"/>
  <c r="E103" i="6"/>
  <c r="D103" i="6"/>
  <c r="Q102" i="6"/>
  <c r="P102" i="6"/>
  <c r="O102" i="6"/>
  <c r="N102" i="6"/>
  <c r="M102" i="6"/>
  <c r="L102" i="6"/>
  <c r="I102" i="6"/>
  <c r="H102" i="6"/>
  <c r="J102" i="6" s="1"/>
  <c r="G102" i="6"/>
  <c r="F102" i="6"/>
  <c r="E102" i="6"/>
  <c r="D102" i="6"/>
  <c r="Q101" i="6"/>
  <c r="P101" i="6"/>
  <c r="O101" i="6"/>
  <c r="N101" i="6"/>
  <c r="M101" i="6"/>
  <c r="L101" i="6"/>
  <c r="I101" i="6"/>
  <c r="H101" i="6"/>
  <c r="J101" i="6" s="1"/>
  <c r="G101" i="6"/>
  <c r="F101" i="6"/>
  <c r="E101" i="6"/>
  <c r="D101" i="6"/>
  <c r="Q100" i="6"/>
  <c r="P100" i="6"/>
  <c r="O100" i="6"/>
  <c r="N100" i="6"/>
  <c r="M100" i="6"/>
  <c r="L100" i="6"/>
  <c r="I100" i="6"/>
  <c r="H100" i="6"/>
  <c r="J100" i="6" s="1"/>
  <c r="G100" i="6"/>
  <c r="F100" i="6"/>
  <c r="E100" i="6"/>
  <c r="D100" i="6"/>
  <c r="Q99" i="6"/>
  <c r="P99" i="6"/>
  <c r="O99" i="6"/>
  <c r="N99" i="6"/>
  <c r="M99" i="6"/>
  <c r="L99" i="6"/>
  <c r="I99" i="6"/>
  <c r="H99" i="6"/>
  <c r="J99" i="6" s="1"/>
  <c r="G99" i="6"/>
  <c r="F99" i="6"/>
  <c r="E99" i="6"/>
  <c r="D99" i="6"/>
  <c r="Q98" i="6"/>
  <c r="P98" i="6"/>
  <c r="R98" i="6" s="1"/>
  <c r="O98" i="6"/>
  <c r="N98" i="6"/>
  <c r="M98" i="6"/>
  <c r="L98" i="6"/>
  <c r="I98" i="6"/>
  <c r="H98" i="6"/>
  <c r="J98" i="6" s="1"/>
  <c r="G98" i="6"/>
  <c r="F98" i="6"/>
  <c r="E98" i="6"/>
  <c r="D98" i="6"/>
  <c r="Q97" i="6"/>
  <c r="P97" i="6"/>
  <c r="O97" i="6"/>
  <c r="N97" i="6"/>
  <c r="M97" i="6"/>
  <c r="L97" i="6"/>
  <c r="I97" i="6"/>
  <c r="H97" i="6"/>
  <c r="J97" i="6" s="1"/>
  <c r="G97" i="6"/>
  <c r="F97" i="6"/>
  <c r="E97" i="6"/>
  <c r="D97" i="6"/>
  <c r="Q96" i="6"/>
  <c r="P96" i="6"/>
  <c r="O96" i="6"/>
  <c r="N96" i="6"/>
  <c r="M96" i="6"/>
  <c r="L96" i="6"/>
  <c r="I96" i="6"/>
  <c r="H96" i="6"/>
  <c r="J96" i="6" s="1"/>
  <c r="G96" i="6"/>
  <c r="F96" i="6"/>
  <c r="E96" i="6"/>
  <c r="D96" i="6"/>
  <c r="Q95" i="6"/>
  <c r="P95" i="6"/>
  <c r="O95" i="6"/>
  <c r="N95" i="6"/>
  <c r="M95" i="6"/>
  <c r="L95" i="6"/>
  <c r="I95" i="6"/>
  <c r="H95" i="6"/>
  <c r="J95" i="6" s="1"/>
  <c r="G95" i="6"/>
  <c r="F95" i="6"/>
  <c r="E95" i="6"/>
  <c r="D95" i="6"/>
  <c r="Q94" i="6"/>
  <c r="P94" i="6"/>
  <c r="O94" i="6"/>
  <c r="N94" i="6"/>
  <c r="M94" i="6"/>
  <c r="L94" i="6"/>
  <c r="I94" i="6"/>
  <c r="H94" i="6"/>
  <c r="J94" i="6" s="1"/>
  <c r="G94" i="6"/>
  <c r="F94" i="6"/>
  <c r="E94" i="6"/>
  <c r="D94" i="6"/>
  <c r="Q93" i="6"/>
  <c r="P93" i="6"/>
  <c r="O93" i="6"/>
  <c r="N93" i="6"/>
  <c r="M93" i="6"/>
  <c r="L93" i="6"/>
  <c r="I93" i="6"/>
  <c r="H93" i="6"/>
  <c r="J93" i="6" s="1"/>
  <c r="G93" i="6"/>
  <c r="F93" i="6"/>
  <c r="E93" i="6"/>
  <c r="D93" i="6"/>
  <c r="Q92" i="6"/>
  <c r="P92" i="6"/>
  <c r="O92" i="6"/>
  <c r="N92" i="6"/>
  <c r="M92" i="6"/>
  <c r="L92" i="6"/>
  <c r="I92" i="6"/>
  <c r="H92" i="6"/>
  <c r="J92" i="6" s="1"/>
  <c r="G92" i="6"/>
  <c r="F92" i="6"/>
  <c r="E92" i="6"/>
  <c r="D92" i="6"/>
  <c r="Q91" i="6"/>
  <c r="P91" i="6"/>
  <c r="O91" i="6"/>
  <c r="N91" i="6"/>
  <c r="M91" i="6"/>
  <c r="L91" i="6"/>
  <c r="I91" i="6"/>
  <c r="H91" i="6"/>
  <c r="J91" i="6" s="1"/>
  <c r="G91" i="6"/>
  <c r="F91" i="6"/>
  <c r="E91" i="6"/>
  <c r="D91" i="6"/>
  <c r="Q90" i="6"/>
  <c r="P90" i="6"/>
  <c r="R90" i="6" s="1"/>
  <c r="O90" i="6"/>
  <c r="N90" i="6"/>
  <c r="M90" i="6"/>
  <c r="L90" i="6"/>
  <c r="I90" i="6"/>
  <c r="H90" i="6"/>
  <c r="J90" i="6" s="1"/>
  <c r="G90" i="6"/>
  <c r="F90" i="6"/>
  <c r="E90" i="6"/>
  <c r="D90" i="6"/>
  <c r="Q89" i="6"/>
  <c r="P89" i="6"/>
  <c r="O89" i="6"/>
  <c r="N89" i="6"/>
  <c r="M89" i="6"/>
  <c r="L89" i="6"/>
  <c r="I89" i="6"/>
  <c r="H89" i="6"/>
  <c r="J89" i="6" s="1"/>
  <c r="G89" i="6"/>
  <c r="F89" i="6"/>
  <c r="E89" i="6"/>
  <c r="D89" i="6"/>
  <c r="Q88" i="6"/>
  <c r="P88" i="6"/>
  <c r="O88" i="6"/>
  <c r="N88" i="6"/>
  <c r="M88" i="6"/>
  <c r="L88" i="6"/>
  <c r="I88" i="6"/>
  <c r="H88" i="6"/>
  <c r="J88" i="6" s="1"/>
  <c r="G88" i="6"/>
  <c r="F88" i="6"/>
  <c r="E88" i="6"/>
  <c r="D88" i="6"/>
  <c r="Q87" i="6"/>
  <c r="P87" i="6"/>
  <c r="O87" i="6"/>
  <c r="N87" i="6"/>
  <c r="M87" i="6"/>
  <c r="L87" i="6"/>
  <c r="I87" i="6"/>
  <c r="H87" i="6"/>
  <c r="J87" i="6" s="1"/>
  <c r="G87" i="6"/>
  <c r="F87" i="6"/>
  <c r="E87" i="6"/>
  <c r="D87" i="6"/>
  <c r="Q86" i="6"/>
  <c r="P86" i="6"/>
  <c r="R86" i="6" s="1"/>
  <c r="O86" i="6"/>
  <c r="N86" i="6"/>
  <c r="M86" i="6"/>
  <c r="L86" i="6"/>
  <c r="I86" i="6"/>
  <c r="H86" i="6"/>
  <c r="J86" i="6" s="1"/>
  <c r="G86" i="6"/>
  <c r="F86" i="6"/>
  <c r="E86" i="6"/>
  <c r="D86" i="6"/>
  <c r="Q85" i="6"/>
  <c r="P85" i="6"/>
  <c r="O85" i="6"/>
  <c r="N85" i="6"/>
  <c r="M85" i="6"/>
  <c r="L85" i="6"/>
  <c r="I85" i="6"/>
  <c r="H85" i="6"/>
  <c r="J85" i="6" s="1"/>
  <c r="G85" i="6"/>
  <c r="F85" i="6"/>
  <c r="E85" i="6"/>
  <c r="D85" i="6"/>
  <c r="Q84" i="6"/>
  <c r="P84" i="6"/>
  <c r="O84" i="6"/>
  <c r="N84" i="6"/>
  <c r="M84" i="6"/>
  <c r="L84" i="6"/>
  <c r="I84" i="6"/>
  <c r="H84" i="6"/>
  <c r="J84" i="6" s="1"/>
  <c r="G84" i="6"/>
  <c r="F84" i="6"/>
  <c r="E84" i="6"/>
  <c r="D84" i="6"/>
  <c r="Q83" i="6"/>
  <c r="P83" i="6"/>
  <c r="R83" i="6" s="1"/>
  <c r="O83" i="6"/>
  <c r="N83" i="6"/>
  <c r="M83" i="6"/>
  <c r="L83" i="6"/>
  <c r="I83" i="6"/>
  <c r="H83" i="6"/>
  <c r="J83" i="6" s="1"/>
  <c r="G83" i="6"/>
  <c r="F83" i="6"/>
  <c r="E83" i="6"/>
  <c r="D83" i="6"/>
  <c r="Q82" i="6"/>
  <c r="P82" i="6"/>
  <c r="O82" i="6"/>
  <c r="N82" i="6"/>
  <c r="M82" i="6"/>
  <c r="L82" i="6"/>
  <c r="I82" i="6"/>
  <c r="H82" i="6"/>
  <c r="J82" i="6" s="1"/>
  <c r="G82" i="6"/>
  <c r="F82" i="6"/>
  <c r="E82" i="6"/>
  <c r="D82" i="6"/>
  <c r="Q81" i="6"/>
  <c r="P81" i="6"/>
  <c r="R81" i="6" s="1"/>
  <c r="O81" i="6"/>
  <c r="N81" i="6"/>
  <c r="M81" i="6"/>
  <c r="L81" i="6"/>
  <c r="I81" i="6"/>
  <c r="H81" i="6"/>
  <c r="J81" i="6" s="1"/>
  <c r="G81" i="6"/>
  <c r="F81" i="6"/>
  <c r="E81" i="6"/>
  <c r="D81" i="6"/>
  <c r="Q80" i="6"/>
  <c r="P80" i="6"/>
  <c r="O80" i="6"/>
  <c r="N80" i="6"/>
  <c r="M80" i="6"/>
  <c r="L80" i="6"/>
  <c r="I80" i="6"/>
  <c r="H80" i="6"/>
  <c r="J80" i="6" s="1"/>
  <c r="G80" i="6"/>
  <c r="F80" i="6"/>
  <c r="E80" i="6"/>
  <c r="D80" i="6"/>
  <c r="Q79" i="6"/>
  <c r="P79" i="6"/>
  <c r="R79" i="6" s="1"/>
  <c r="O79" i="6"/>
  <c r="N79" i="6"/>
  <c r="M79" i="6"/>
  <c r="L79" i="6"/>
  <c r="I79" i="6"/>
  <c r="H79" i="6"/>
  <c r="J79" i="6" s="1"/>
  <c r="G79" i="6"/>
  <c r="F79" i="6"/>
  <c r="E79" i="6"/>
  <c r="D79" i="6"/>
  <c r="Q78" i="6"/>
  <c r="P78" i="6"/>
  <c r="O78" i="6"/>
  <c r="N78" i="6"/>
  <c r="M78" i="6"/>
  <c r="L78" i="6"/>
  <c r="I78" i="6"/>
  <c r="H78" i="6"/>
  <c r="J78" i="6" s="1"/>
  <c r="G78" i="6"/>
  <c r="F78" i="6"/>
  <c r="E78" i="6"/>
  <c r="D78" i="6"/>
  <c r="Q77" i="6"/>
  <c r="P77" i="6"/>
  <c r="R77" i="6" s="1"/>
  <c r="O77" i="6"/>
  <c r="N77" i="6"/>
  <c r="M77" i="6"/>
  <c r="L77" i="6"/>
  <c r="I77" i="6"/>
  <c r="H77" i="6"/>
  <c r="J77" i="6" s="1"/>
  <c r="G77" i="6"/>
  <c r="F77" i="6"/>
  <c r="E77" i="6"/>
  <c r="D77" i="6"/>
  <c r="Q76" i="6"/>
  <c r="P76" i="6"/>
  <c r="O76" i="6"/>
  <c r="N76" i="6"/>
  <c r="M76" i="6"/>
  <c r="L76" i="6"/>
  <c r="I76" i="6"/>
  <c r="H76" i="6"/>
  <c r="J76" i="6" s="1"/>
  <c r="G76" i="6"/>
  <c r="F76" i="6"/>
  <c r="E76" i="6"/>
  <c r="D76" i="6"/>
  <c r="Q75" i="6"/>
  <c r="P75" i="6"/>
  <c r="O75" i="6"/>
  <c r="N75" i="6"/>
  <c r="M75" i="6"/>
  <c r="L75" i="6"/>
  <c r="I75" i="6"/>
  <c r="H75" i="6"/>
  <c r="J75" i="6" s="1"/>
  <c r="G75" i="6"/>
  <c r="F75" i="6"/>
  <c r="E75" i="6"/>
  <c r="D75" i="6"/>
  <c r="Q74" i="6"/>
  <c r="P74" i="6"/>
  <c r="O74" i="6"/>
  <c r="N74" i="6"/>
  <c r="M74" i="6"/>
  <c r="L74" i="6"/>
  <c r="I74" i="6"/>
  <c r="H74" i="6"/>
  <c r="J74" i="6" s="1"/>
  <c r="G74" i="6"/>
  <c r="F74" i="6"/>
  <c r="E74" i="6"/>
  <c r="D74" i="6"/>
  <c r="Q73" i="6"/>
  <c r="P73" i="6"/>
  <c r="O73" i="6"/>
  <c r="N73" i="6"/>
  <c r="M73" i="6"/>
  <c r="L73" i="6"/>
  <c r="I73" i="6"/>
  <c r="H73" i="6"/>
  <c r="J73" i="6" s="1"/>
  <c r="G73" i="6"/>
  <c r="F73" i="6"/>
  <c r="E73" i="6"/>
  <c r="D73" i="6"/>
  <c r="Q72" i="6"/>
  <c r="P72" i="6"/>
  <c r="O72" i="6"/>
  <c r="N72" i="6"/>
  <c r="M72" i="6"/>
  <c r="L72" i="6"/>
  <c r="I72" i="6"/>
  <c r="H72" i="6"/>
  <c r="J72" i="6" s="1"/>
  <c r="G72" i="6"/>
  <c r="F72" i="6"/>
  <c r="E72" i="6"/>
  <c r="D72" i="6"/>
  <c r="Q71" i="6"/>
  <c r="P71" i="6"/>
  <c r="O71" i="6"/>
  <c r="N71" i="6"/>
  <c r="M71" i="6"/>
  <c r="L71" i="6"/>
  <c r="I71" i="6"/>
  <c r="H71" i="6"/>
  <c r="J71" i="6" s="1"/>
  <c r="G71" i="6"/>
  <c r="F71" i="6"/>
  <c r="E71" i="6"/>
  <c r="D71" i="6"/>
  <c r="Q70" i="6"/>
  <c r="P70" i="6"/>
  <c r="R70" i="6" s="1"/>
  <c r="O70" i="6"/>
  <c r="N70" i="6"/>
  <c r="M70" i="6"/>
  <c r="L70" i="6"/>
  <c r="I70" i="6"/>
  <c r="H70" i="6"/>
  <c r="J70" i="6" s="1"/>
  <c r="G70" i="6"/>
  <c r="F70" i="6"/>
  <c r="E70" i="6"/>
  <c r="D70" i="6"/>
  <c r="Q69" i="6"/>
  <c r="P69" i="6"/>
  <c r="R69" i="6" s="1"/>
  <c r="O69" i="6"/>
  <c r="N69" i="6"/>
  <c r="M69" i="6"/>
  <c r="L69" i="6"/>
  <c r="I69" i="6"/>
  <c r="H69" i="6"/>
  <c r="J69" i="6" s="1"/>
  <c r="G69" i="6"/>
  <c r="F69" i="6"/>
  <c r="E69" i="6"/>
  <c r="D69" i="6"/>
  <c r="Q68" i="6"/>
  <c r="P68" i="6"/>
  <c r="O68" i="6"/>
  <c r="N68" i="6"/>
  <c r="M68" i="6"/>
  <c r="L68" i="6"/>
  <c r="I68" i="6"/>
  <c r="H68" i="6"/>
  <c r="J68" i="6" s="1"/>
  <c r="G68" i="6"/>
  <c r="F68" i="6"/>
  <c r="E68" i="6"/>
  <c r="D68" i="6"/>
  <c r="Q67" i="6"/>
  <c r="P67" i="6"/>
  <c r="O67" i="6"/>
  <c r="N67" i="6"/>
  <c r="M67" i="6"/>
  <c r="L67" i="6"/>
  <c r="I67" i="6"/>
  <c r="H67" i="6"/>
  <c r="J67" i="6" s="1"/>
  <c r="G67" i="6"/>
  <c r="F67" i="6"/>
  <c r="E67" i="6"/>
  <c r="D67" i="6"/>
  <c r="Q66" i="6"/>
  <c r="P66" i="6"/>
  <c r="O66" i="6"/>
  <c r="N66" i="6"/>
  <c r="M66" i="6"/>
  <c r="L66" i="6"/>
  <c r="I66" i="6"/>
  <c r="H66" i="6"/>
  <c r="J66" i="6" s="1"/>
  <c r="G66" i="6"/>
  <c r="F66" i="6"/>
  <c r="E66" i="6"/>
  <c r="D66" i="6"/>
  <c r="C66" i="6"/>
  <c r="Q65" i="6"/>
  <c r="P65" i="6"/>
  <c r="R65" i="6" s="1"/>
  <c r="O65" i="6"/>
  <c r="N65" i="6"/>
  <c r="M65" i="6"/>
  <c r="L65" i="6"/>
  <c r="I65" i="6"/>
  <c r="H65" i="6"/>
  <c r="J65" i="6" s="1"/>
  <c r="G65" i="6"/>
  <c r="F65" i="6"/>
  <c r="E65" i="6"/>
  <c r="D65" i="6"/>
  <c r="C65" i="6"/>
  <c r="Q64" i="6"/>
  <c r="P64" i="6"/>
  <c r="R64" i="6" s="1"/>
  <c r="O64" i="6"/>
  <c r="N64" i="6"/>
  <c r="M64" i="6"/>
  <c r="L64" i="6"/>
  <c r="I64" i="6"/>
  <c r="H64" i="6"/>
  <c r="J64" i="6" s="1"/>
  <c r="G64" i="6"/>
  <c r="F64" i="6"/>
  <c r="E64" i="6"/>
  <c r="D64" i="6"/>
  <c r="C64" i="6"/>
  <c r="Q63" i="6"/>
  <c r="P63" i="6"/>
  <c r="R63" i="6" s="1"/>
  <c r="O63" i="6"/>
  <c r="N63" i="6"/>
  <c r="M63" i="6"/>
  <c r="L63" i="6"/>
  <c r="I63" i="6"/>
  <c r="H63" i="6"/>
  <c r="G63" i="6"/>
  <c r="F63" i="6"/>
  <c r="E63" i="6"/>
  <c r="D63" i="6"/>
  <c r="C63" i="6"/>
  <c r="Q62" i="6"/>
  <c r="P62" i="6"/>
  <c r="O62" i="6"/>
  <c r="N62" i="6"/>
  <c r="M62" i="6"/>
  <c r="L62" i="6"/>
  <c r="I62" i="6"/>
  <c r="H62" i="6"/>
  <c r="J62" i="6" s="1"/>
  <c r="G62" i="6"/>
  <c r="F62" i="6"/>
  <c r="E62" i="6"/>
  <c r="D62" i="6"/>
  <c r="Q61" i="6"/>
  <c r="P61" i="6"/>
  <c r="O61" i="6"/>
  <c r="N61" i="6"/>
  <c r="M61" i="6"/>
  <c r="L61" i="6"/>
  <c r="I61" i="6"/>
  <c r="H61" i="6"/>
  <c r="J61" i="6" s="1"/>
  <c r="G61" i="6"/>
  <c r="F61" i="6"/>
  <c r="E61" i="6"/>
  <c r="D61" i="6"/>
  <c r="Q60" i="6"/>
  <c r="P60" i="6"/>
  <c r="O60" i="6"/>
  <c r="N60" i="6"/>
  <c r="M60" i="6"/>
  <c r="L60" i="6"/>
  <c r="I60" i="6"/>
  <c r="H60" i="6"/>
  <c r="J60" i="6" s="1"/>
  <c r="G60" i="6"/>
  <c r="F60" i="6"/>
  <c r="E60" i="6"/>
  <c r="D60" i="6"/>
  <c r="Q59" i="6"/>
  <c r="P59" i="6"/>
  <c r="O59" i="6"/>
  <c r="N59" i="6"/>
  <c r="M59" i="6"/>
  <c r="L59" i="6"/>
  <c r="I59" i="6"/>
  <c r="H59" i="6"/>
  <c r="J59" i="6" s="1"/>
  <c r="G59" i="6"/>
  <c r="F59" i="6"/>
  <c r="E59" i="6"/>
  <c r="D59" i="6"/>
  <c r="Q58" i="6"/>
  <c r="P58" i="6"/>
  <c r="O58" i="6"/>
  <c r="N58" i="6"/>
  <c r="M58" i="6"/>
  <c r="L58" i="6"/>
  <c r="I58" i="6"/>
  <c r="H58" i="6"/>
  <c r="J58" i="6" s="1"/>
  <c r="G58" i="6"/>
  <c r="F58" i="6"/>
  <c r="E58" i="6"/>
  <c r="D58" i="6"/>
  <c r="Q57" i="6"/>
  <c r="P57" i="6"/>
  <c r="O57" i="6"/>
  <c r="N57" i="6"/>
  <c r="M57" i="6"/>
  <c r="L57" i="6"/>
  <c r="I57" i="6"/>
  <c r="H57" i="6"/>
  <c r="J57" i="6" s="1"/>
  <c r="G57" i="6"/>
  <c r="F57" i="6"/>
  <c r="E57" i="6"/>
  <c r="D57" i="6"/>
  <c r="Q56" i="6"/>
  <c r="P56" i="6"/>
  <c r="R56" i="6" s="1"/>
  <c r="O56" i="6"/>
  <c r="N56" i="6"/>
  <c r="M56" i="6"/>
  <c r="L56" i="6"/>
  <c r="I56" i="6"/>
  <c r="H56" i="6"/>
  <c r="J56" i="6" s="1"/>
  <c r="G56" i="6"/>
  <c r="F56" i="6"/>
  <c r="E56" i="6"/>
  <c r="D56" i="6"/>
  <c r="Q55" i="6"/>
  <c r="P55" i="6"/>
  <c r="O55" i="6"/>
  <c r="N55" i="6"/>
  <c r="M55" i="6"/>
  <c r="L55" i="6"/>
  <c r="I55" i="6"/>
  <c r="H55" i="6"/>
  <c r="J55" i="6" s="1"/>
  <c r="G55" i="6"/>
  <c r="F55" i="6"/>
  <c r="E55" i="6"/>
  <c r="D55" i="6"/>
  <c r="Q54" i="6"/>
  <c r="P54" i="6"/>
  <c r="O54" i="6"/>
  <c r="N54" i="6"/>
  <c r="M54" i="6"/>
  <c r="L54" i="6"/>
  <c r="I54" i="6"/>
  <c r="H54" i="6"/>
  <c r="J54" i="6" s="1"/>
  <c r="G54" i="6"/>
  <c r="F54" i="6"/>
  <c r="E54" i="6"/>
  <c r="D54" i="6"/>
  <c r="Q53" i="6"/>
  <c r="P53" i="6"/>
  <c r="O53" i="6"/>
  <c r="N53" i="6"/>
  <c r="M53" i="6"/>
  <c r="L53" i="6"/>
  <c r="I53" i="6"/>
  <c r="H53" i="6"/>
  <c r="J53" i="6" s="1"/>
  <c r="G53" i="6"/>
  <c r="F53" i="6"/>
  <c r="E53" i="6"/>
  <c r="D53" i="6"/>
  <c r="Q52" i="6"/>
  <c r="P52" i="6"/>
  <c r="R52" i="6" s="1"/>
  <c r="O52" i="6"/>
  <c r="N52" i="6"/>
  <c r="M52" i="6"/>
  <c r="L52" i="6"/>
  <c r="I52" i="6"/>
  <c r="H52" i="6"/>
  <c r="J52" i="6" s="1"/>
  <c r="G52" i="6"/>
  <c r="F52" i="6"/>
  <c r="E52" i="6"/>
  <c r="D52" i="6"/>
  <c r="Q51" i="6"/>
  <c r="P51" i="6"/>
  <c r="R51" i="6" s="1"/>
  <c r="O51" i="6"/>
  <c r="N51" i="6"/>
  <c r="M51" i="6"/>
  <c r="L51" i="6"/>
  <c r="I51" i="6"/>
  <c r="H51" i="6"/>
  <c r="J51" i="6" s="1"/>
  <c r="G51" i="6"/>
  <c r="F51" i="6"/>
  <c r="E51" i="6"/>
  <c r="D51" i="6"/>
  <c r="Q50" i="6"/>
  <c r="P50" i="6"/>
  <c r="R50" i="6" s="1"/>
  <c r="O50" i="6"/>
  <c r="N50" i="6"/>
  <c r="M50" i="6"/>
  <c r="L50" i="6"/>
  <c r="I50" i="6"/>
  <c r="H50" i="6"/>
  <c r="J50" i="6" s="1"/>
  <c r="G50" i="6"/>
  <c r="F50" i="6"/>
  <c r="E50" i="6"/>
  <c r="D50" i="6"/>
  <c r="Q49" i="6"/>
  <c r="P49" i="6"/>
  <c r="R49" i="6" s="1"/>
  <c r="O49" i="6"/>
  <c r="N49" i="6"/>
  <c r="M49" i="6"/>
  <c r="L49" i="6"/>
  <c r="I49" i="6"/>
  <c r="H49" i="6"/>
  <c r="J49" i="6" s="1"/>
  <c r="G49" i="6"/>
  <c r="F49" i="6"/>
  <c r="E49" i="6"/>
  <c r="D49" i="6"/>
  <c r="Q48" i="6"/>
  <c r="P48" i="6"/>
  <c r="O48" i="6"/>
  <c r="N48" i="6"/>
  <c r="M48" i="6"/>
  <c r="L48" i="6"/>
  <c r="I48" i="6"/>
  <c r="H48" i="6"/>
  <c r="J48" i="6" s="1"/>
  <c r="G48" i="6"/>
  <c r="F48" i="6"/>
  <c r="E48" i="6"/>
  <c r="D48" i="6"/>
  <c r="Q47" i="6"/>
  <c r="P47" i="6"/>
  <c r="O47" i="6"/>
  <c r="N47" i="6"/>
  <c r="M47" i="6"/>
  <c r="L47" i="6"/>
  <c r="I47" i="6"/>
  <c r="H47" i="6"/>
  <c r="J47" i="6" s="1"/>
  <c r="G47" i="6"/>
  <c r="F47" i="6"/>
  <c r="E47" i="6"/>
  <c r="D47" i="6"/>
  <c r="Q46" i="6"/>
  <c r="P46" i="6"/>
  <c r="O46" i="6"/>
  <c r="N46" i="6"/>
  <c r="M46" i="6"/>
  <c r="L46" i="6"/>
  <c r="I46" i="6"/>
  <c r="H46" i="6"/>
  <c r="J46" i="6" s="1"/>
  <c r="G46" i="6"/>
  <c r="F46" i="6"/>
  <c r="E46" i="6"/>
  <c r="D46" i="6"/>
  <c r="Q45" i="6"/>
  <c r="P45" i="6"/>
  <c r="O45" i="6"/>
  <c r="N45" i="6"/>
  <c r="M45" i="6"/>
  <c r="L45" i="6"/>
  <c r="I45" i="6"/>
  <c r="H45" i="6"/>
  <c r="J45" i="6" s="1"/>
  <c r="G45" i="6"/>
  <c r="F45" i="6"/>
  <c r="E45" i="6"/>
  <c r="D45" i="6"/>
  <c r="Q44" i="6"/>
  <c r="P44" i="6"/>
  <c r="O44" i="6"/>
  <c r="N44" i="6"/>
  <c r="M44" i="6"/>
  <c r="L44" i="6"/>
  <c r="I44" i="6"/>
  <c r="H44" i="6"/>
  <c r="J44" i="6" s="1"/>
  <c r="G44" i="6"/>
  <c r="F44" i="6"/>
  <c r="E44" i="6"/>
  <c r="D44" i="6"/>
  <c r="Q43" i="6"/>
  <c r="P43" i="6"/>
  <c r="R43" i="6" s="1"/>
  <c r="O43" i="6"/>
  <c r="N43" i="6"/>
  <c r="M43" i="6"/>
  <c r="L43" i="6"/>
  <c r="I43" i="6"/>
  <c r="H43" i="6"/>
  <c r="J43" i="6" s="1"/>
  <c r="G43" i="6"/>
  <c r="F43" i="6"/>
  <c r="E43" i="6"/>
  <c r="D43" i="6"/>
  <c r="Q42" i="6"/>
  <c r="P42" i="6"/>
  <c r="O42" i="6"/>
  <c r="N42" i="6"/>
  <c r="M42" i="6"/>
  <c r="L42" i="6"/>
  <c r="I42" i="6"/>
  <c r="H42" i="6"/>
  <c r="J42" i="6" s="1"/>
  <c r="G42" i="6"/>
  <c r="F42" i="6"/>
  <c r="E42" i="6"/>
  <c r="D42" i="6"/>
  <c r="Q41" i="6"/>
  <c r="P41" i="6"/>
  <c r="O41" i="6"/>
  <c r="N41" i="6"/>
  <c r="M41" i="6"/>
  <c r="L41" i="6"/>
  <c r="I41" i="6"/>
  <c r="H41" i="6"/>
  <c r="J41" i="6" s="1"/>
  <c r="G41" i="6"/>
  <c r="F41" i="6"/>
  <c r="E41" i="6"/>
  <c r="D41" i="6"/>
  <c r="Q40" i="6"/>
  <c r="P40" i="6"/>
  <c r="O40" i="6"/>
  <c r="N40" i="6"/>
  <c r="M40" i="6"/>
  <c r="L40" i="6"/>
  <c r="I40" i="6"/>
  <c r="H40" i="6"/>
  <c r="J40" i="6" s="1"/>
  <c r="G40" i="6"/>
  <c r="F40" i="6"/>
  <c r="E40" i="6"/>
  <c r="D40" i="6"/>
  <c r="Q39" i="6"/>
  <c r="P39" i="6"/>
  <c r="O39" i="6"/>
  <c r="N39" i="6"/>
  <c r="M39" i="6"/>
  <c r="L39" i="6"/>
  <c r="I39" i="6"/>
  <c r="H39" i="6"/>
  <c r="J39" i="6" s="1"/>
  <c r="G39" i="6"/>
  <c r="F39" i="6"/>
  <c r="E39" i="6"/>
  <c r="D39" i="6"/>
  <c r="Q38" i="6"/>
  <c r="P38" i="6"/>
  <c r="O38" i="6"/>
  <c r="N38" i="6"/>
  <c r="M38" i="6"/>
  <c r="L38" i="6"/>
  <c r="I38" i="6"/>
  <c r="H38" i="6"/>
  <c r="J38" i="6" s="1"/>
  <c r="G38" i="6"/>
  <c r="F38" i="6"/>
  <c r="E38" i="6"/>
  <c r="D38" i="6"/>
  <c r="Q37" i="6"/>
  <c r="P37" i="6"/>
  <c r="O37" i="6"/>
  <c r="N37" i="6"/>
  <c r="M37" i="6"/>
  <c r="L37" i="6"/>
  <c r="I37" i="6"/>
  <c r="H37" i="6"/>
  <c r="J37" i="6" s="1"/>
  <c r="G37" i="6"/>
  <c r="F37" i="6"/>
  <c r="E37" i="6"/>
  <c r="D37" i="6"/>
  <c r="Q36" i="6"/>
  <c r="P36" i="6"/>
  <c r="R36" i="6" s="1"/>
  <c r="O36" i="6"/>
  <c r="N36" i="6"/>
  <c r="M36" i="6"/>
  <c r="L36" i="6"/>
  <c r="I36" i="6"/>
  <c r="H36" i="6"/>
  <c r="J36" i="6" s="1"/>
  <c r="G36" i="6"/>
  <c r="F36" i="6"/>
  <c r="E36" i="6"/>
  <c r="D36" i="6"/>
  <c r="Q35" i="6"/>
  <c r="P35" i="6"/>
  <c r="O35" i="6"/>
  <c r="N35" i="6"/>
  <c r="M35" i="6"/>
  <c r="L35" i="6"/>
  <c r="I35" i="6"/>
  <c r="H35" i="6"/>
  <c r="J35" i="6" s="1"/>
  <c r="G35" i="6"/>
  <c r="F35" i="6"/>
  <c r="E35" i="6"/>
  <c r="D35" i="6"/>
  <c r="Q34" i="6"/>
  <c r="P34" i="6"/>
  <c r="O34" i="6"/>
  <c r="N34" i="6"/>
  <c r="M34" i="6"/>
  <c r="L34" i="6"/>
  <c r="I34" i="6"/>
  <c r="H34" i="6"/>
  <c r="J34" i="6" s="1"/>
  <c r="G34" i="6"/>
  <c r="F34" i="6"/>
  <c r="E34" i="6"/>
  <c r="D34" i="6"/>
  <c r="Q33" i="6"/>
  <c r="P33" i="6"/>
  <c r="O33" i="6"/>
  <c r="N33" i="6"/>
  <c r="M33" i="6"/>
  <c r="L33" i="6"/>
  <c r="I33" i="6"/>
  <c r="H33" i="6"/>
  <c r="J33" i="6" s="1"/>
  <c r="G33" i="6"/>
  <c r="F33" i="6"/>
  <c r="E33" i="6"/>
  <c r="D33" i="6"/>
  <c r="Q32" i="6"/>
  <c r="P32" i="6"/>
  <c r="O32" i="6"/>
  <c r="N32" i="6"/>
  <c r="M32" i="6"/>
  <c r="L32" i="6"/>
  <c r="I32" i="6"/>
  <c r="H32" i="6"/>
  <c r="J32" i="6" s="1"/>
  <c r="G32" i="6"/>
  <c r="F32" i="6"/>
  <c r="E32" i="6"/>
  <c r="D32" i="6"/>
  <c r="Q31" i="6"/>
  <c r="P31" i="6"/>
  <c r="O31" i="6"/>
  <c r="N31" i="6"/>
  <c r="M31" i="6"/>
  <c r="L31" i="6"/>
  <c r="I31" i="6"/>
  <c r="H31" i="6"/>
  <c r="J31" i="6" s="1"/>
  <c r="G31" i="6"/>
  <c r="F31" i="6"/>
  <c r="E31" i="6"/>
  <c r="D31" i="6"/>
  <c r="Q30" i="6"/>
  <c r="P30" i="6"/>
  <c r="O30" i="6"/>
  <c r="N30" i="6"/>
  <c r="M30" i="6"/>
  <c r="L30" i="6"/>
  <c r="I30" i="6"/>
  <c r="H30" i="6"/>
  <c r="J30" i="6" s="1"/>
  <c r="G30" i="6"/>
  <c r="F30" i="6"/>
  <c r="E30" i="6"/>
  <c r="D30" i="6"/>
  <c r="Q29" i="6"/>
  <c r="P29" i="6"/>
  <c r="O29" i="6"/>
  <c r="N29" i="6"/>
  <c r="M29" i="6"/>
  <c r="L29" i="6"/>
  <c r="I29" i="6"/>
  <c r="H29" i="6"/>
  <c r="J29" i="6" s="1"/>
  <c r="G29" i="6"/>
  <c r="F29" i="6"/>
  <c r="E29" i="6"/>
  <c r="D29" i="6"/>
  <c r="Q28" i="6"/>
  <c r="P28" i="6"/>
  <c r="O28" i="6"/>
  <c r="N28" i="6"/>
  <c r="M28" i="6"/>
  <c r="L28" i="6"/>
  <c r="I28" i="6"/>
  <c r="H28" i="6"/>
  <c r="J28" i="6" s="1"/>
  <c r="G28" i="6"/>
  <c r="F28" i="6"/>
  <c r="E28" i="6"/>
  <c r="D28" i="6"/>
  <c r="Q27" i="6"/>
  <c r="P27" i="6"/>
  <c r="O27" i="6"/>
  <c r="N27" i="6"/>
  <c r="M27" i="6"/>
  <c r="L27" i="6"/>
  <c r="I27" i="6"/>
  <c r="H27" i="6"/>
  <c r="J27" i="6" s="1"/>
  <c r="G27" i="6"/>
  <c r="F27" i="6"/>
  <c r="E27" i="6"/>
  <c r="D27" i="6"/>
  <c r="Q106" i="5"/>
  <c r="P106" i="5"/>
  <c r="O106" i="5"/>
  <c r="N106" i="5"/>
  <c r="M106" i="5"/>
  <c r="L106" i="5"/>
  <c r="I106" i="5"/>
  <c r="H106" i="5"/>
  <c r="J106" i="5" s="1"/>
  <c r="G106" i="5"/>
  <c r="F106" i="5"/>
  <c r="E106" i="5"/>
  <c r="D106" i="5"/>
  <c r="Q105" i="5"/>
  <c r="P105" i="5"/>
  <c r="O105" i="5"/>
  <c r="N105" i="5"/>
  <c r="M105" i="5"/>
  <c r="L105" i="5"/>
  <c r="I105" i="5"/>
  <c r="H105" i="5"/>
  <c r="J105" i="5" s="1"/>
  <c r="G105" i="5"/>
  <c r="F105" i="5"/>
  <c r="E105" i="5"/>
  <c r="D105" i="5"/>
  <c r="Q104" i="5"/>
  <c r="P104" i="5"/>
  <c r="O104" i="5"/>
  <c r="N104" i="5"/>
  <c r="M104" i="5"/>
  <c r="L104" i="5"/>
  <c r="I104" i="5"/>
  <c r="H104" i="5"/>
  <c r="J104" i="5" s="1"/>
  <c r="G104" i="5"/>
  <c r="F104" i="5"/>
  <c r="E104" i="5"/>
  <c r="D104" i="5"/>
  <c r="Q103" i="5"/>
  <c r="P103" i="5"/>
  <c r="R103" i="5" s="1"/>
  <c r="O103" i="5"/>
  <c r="N103" i="5"/>
  <c r="M103" i="5"/>
  <c r="L103" i="5"/>
  <c r="I103" i="5"/>
  <c r="H103" i="5"/>
  <c r="J103" i="5" s="1"/>
  <c r="G103" i="5"/>
  <c r="F103" i="5"/>
  <c r="E103" i="5"/>
  <c r="D103" i="5"/>
  <c r="Q102" i="5"/>
  <c r="P102" i="5"/>
  <c r="O102" i="5"/>
  <c r="N102" i="5"/>
  <c r="M102" i="5"/>
  <c r="L102" i="5"/>
  <c r="I102" i="5"/>
  <c r="H102" i="5"/>
  <c r="J102" i="5" s="1"/>
  <c r="G102" i="5"/>
  <c r="F102" i="5"/>
  <c r="E102" i="5"/>
  <c r="D102" i="5"/>
  <c r="Q101" i="5"/>
  <c r="P101" i="5"/>
  <c r="R101" i="5" s="1"/>
  <c r="O101" i="5"/>
  <c r="N101" i="5"/>
  <c r="M101" i="5"/>
  <c r="L101" i="5"/>
  <c r="I101" i="5"/>
  <c r="H101" i="5"/>
  <c r="J101" i="5" s="1"/>
  <c r="G101" i="5"/>
  <c r="F101" i="5"/>
  <c r="E101" i="5"/>
  <c r="D101" i="5"/>
  <c r="Q100" i="5"/>
  <c r="P100" i="5"/>
  <c r="O100" i="5"/>
  <c r="N100" i="5"/>
  <c r="M100" i="5"/>
  <c r="L100" i="5"/>
  <c r="I100" i="5"/>
  <c r="H100" i="5"/>
  <c r="J100" i="5" s="1"/>
  <c r="G100" i="5"/>
  <c r="F100" i="5"/>
  <c r="E100" i="5"/>
  <c r="D100" i="5"/>
  <c r="Q99" i="5"/>
  <c r="P99" i="5"/>
  <c r="O99" i="5"/>
  <c r="N99" i="5"/>
  <c r="M99" i="5"/>
  <c r="L99" i="5"/>
  <c r="I99" i="5"/>
  <c r="H99" i="5"/>
  <c r="J99" i="5" s="1"/>
  <c r="G99" i="5"/>
  <c r="F99" i="5"/>
  <c r="E99" i="5"/>
  <c r="D99" i="5"/>
  <c r="Q98" i="5"/>
  <c r="P98" i="5"/>
  <c r="O98" i="5"/>
  <c r="N98" i="5"/>
  <c r="M98" i="5"/>
  <c r="L98" i="5"/>
  <c r="I98" i="5"/>
  <c r="H98" i="5"/>
  <c r="J98" i="5" s="1"/>
  <c r="G98" i="5"/>
  <c r="F98" i="5"/>
  <c r="E98" i="5"/>
  <c r="D98" i="5"/>
  <c r="Q97" i="5"/>
  <c r="P97" i="5"/>
  <c r="O97" i="5"/>
  <c r="N97" i="5"/>
  <c r="M97" i="5"/>
  <c r="L97" i="5"/>
  <c r="I97" i="5"/>
  <c r="H97" i="5"/>
  <c r="J97" i="5" s="1"/>
  <c r="G97" i="5"/>
  <c r="F97" i="5"/>
  <c r="E97" i="5"/>
  <c r="D97" i="5"/>
  <c r="Q96" i="5"/>
  <c r="P96" i="5"/>
  <c r="R96" i="5" s="1"/>
  <c r="O96" i="5"/>
  <c r="N96" i="5"/>
  <c r="M96" i="5"/>
  <c r="L96" i="5"/>
  <c r="I96" i="5"/>
  <c r="H96" i="5"/>
  <c r="G96" i="5"/>
  <c r="F96" i="5"/>
  <c r="E96" i="5"/>
  <c r="D96" i="5"/>
  <c r="Q95" i="5"/>
  <c r="P95" i="5"/>
  <c r="R95" i="5" s="1"/>
  <c r="O95" i="5"/>
  <c r="N95" i="5"/>
  <c r="M95" i="5"/>
  <c r="L95" i="5"/>
  <c r="I95" i="5"/>
  <c r="H95" i="5"/>
  <c r="J95" i="5" s="1"/>
  <c r="G95" i="5"/>
  <c r="F95" i="5"/>
  <c r="E95" i="5"/>
  <c r="D95" i="5"/>
  <c r="Q94" i="5"/>
  <c r="P94" i="5"/>
  <c r="O94" i="5"/>
  <c r="N94" i="5"/>
  <c r="M94" i="5"/>
  <c r="L94" i="5"/>
  <c r="I94" i="5"/>
  <c r="H94" i="5"/>
  <c r="J94" i="5" s="1"/>
  <c r="G94" i="5"/>
  <c r="F94" i="5"/>
  <c r="E94" i="5"/>
  <c r="D94" i="5"/>
  <c r="Q93" i="5"/>
  <c r="P93" i="5"/>
  <c r="O93" i="5"/>
  <c r="N93" i="5"/>
  <c r="M93" i="5"/>
  <c r="L93" i="5"/>
  <c r="I93" i="5"/>
  <c r="H93" i="5"/>
  <c r="J93" i="5" s="1"/>
  <c r="G93" i="5"/>
  <c r="F93" i="5"/>
  <c r="E93" i="5"/>
  <c r="D93" i="5"/>
  <c r="Q92" i="5"/>
  <c r="P92" i="5"/>
  <c r="O92" i="5"/>
  <c r="N92" i="5"/>
  <c r="M92" i="5"/>
  <c r="L92" i="5"/>
  <c r="I92" i="5"/>
  <c r="H92" i="5"/>
  <c r="J92" i="5" s="1"/>
  <c r="G92" i="5"/>
  <c r="F92" i="5"/>
  <c r="E92" i="5"/>
  <c r="D92" i="5"/>
  <c r="Q91" i="5"/>
  <c r="P91" i="5"/>
  <c r="O91" i="5"/>
  <c r="N91" i="5"/>
  <c r="M91" i="5"/>
  <c r="L91" i="5"/>
  <c r="I91" i="5"/>
  <c r="H91" i="5"/>
  <c r="J91" i="5" s="1"/>
  <c r="G91" i="5"/>
  <c r="F91" i="5"/>
  <c r="E91" i="5"/>
  <c r="D91" i="5"/>
  <c r="Q90" i="5"/>
  <c r="P90" i="5"/>
  <c r="O90" i="5"/>
  <c r="N90" i="5"/>
  <c r="M90" i="5"/>
  <c r="L90" i="5"/>
  <c r="I90" i="5"/>
  <c r="H90" i="5"/>
  <c r="J90" i="5" s="1"/>
  <c r="G90" i="5"/>
  <c r="F90" i="5"/>
  <c r="E90" i="5"/>
  <c r="D90" i="5"/>
  <c r="Q89" i="5"/>
  <c r="P89" i="5"/>
  <c r="O89" i="5"/>
  <c r="N89" i="5"/>
  <c r="M89" i="5"/>
  <c r="L89" i="5"/>
  <c r="I89" i="5"/>
  <c r="H89" i="5"/>
  <c r="J89" i="5" s="1"/>
  <c r="G89" i="5"/>
  <c r="F89" i="5"/>
  <c r="E89" i="5"/>
  <c r="D89" i="5"/>
  <c r="Q88" i="5"/>
  <c r="P88" i="5"/>
  <c r="R88" i="5" s="1"/>
  <c r="O88" i="5"/>
  <c r="N88" i="5"/>
  <c r="M88" i="5"/>
  <c r="L88" i="5"/>
  <c r="I88" i="5"/>
  <c r="H88" i="5"/>
  <c r="J88" i="5" s="1"/>
  <c r="G88" i="5"/>
  <c r="F88" i="5"/>
  <c r="E88" i="5"/>
  <c r="D88" i="5"/>
  <c r="Q87" i="5"/>
  <c r="P87" i="5"/>
  <c r="O87" i="5"/>
  <c r="N87" i="5"/>
  <c r="M87" i="5"/>
  <c r="L87" i="5"/>
  <c r="I87" i="5"/>
  <c r="H87" i="5"/>
  <c r="J87" i="5" s="1"/>
  <c r="G87" i="5"/>
  <c r="F87" i="5"/>
  <c r="E87" i="5"/>
  <c r="D87" i="5"/>
  <c r="Q86" i="5"/>
  <c r="P86" i="5"/>
  <c r="R86" i="5" s="1"/>
  <c r="O86" i="5"/>
  <c r="N86" i="5"/>
  <c r="M86" i="5"/>
  <c r="L86" i="5"/>
  <c r="I86" i="5"/>
  <c r="H86" i="5"/>
  <c r="J86" i="5" s="1"/>
  <c r="G86" i="5"/>
  <c r="F86" i="5"/>
  <c r="E86" i="5"/>
  <c r="D86" i="5"/>
  <c r="Q85" i="5"/>
  <c r="P85" i="5"/>
  <c r="O85" i="5"/>
  <c r="N85" i="5"/>
  <c r="M85" i="5"/>
  <c r="L85" i="5"/>
  <c r="I85" i="5"/>
  <c r="H85" i="5"/>
  <c r="J85" i="5" s="1"/>
  <c r="G85" i="5"/>
  <c r="F85" i="5"/>
  <c r="E85" i="5"/>
  <c r="D85" i="5"/>
  <c r="Q84" i="5"/>
  <c r="P84" i="5"/>
  <c r="O84" i="5"/>
  <c r="N84" i="5"/>
  <c r="M84" i="5"/>
  <c r="L84" i="5"/>
  <c r="I84" i="5"/>
  <c r="H84" i="5"/>
  <c r="J84" i="5" s="1"/>
  <c r="G84" i="5"/>
  <c r="F84" i="5"/>
  <c r="E84" i="5"/>
  <c r="D84" i="5"/>
  <c r="Q83" i="5"/>
  <c r="P83" i="5"/>
  <c r="O83" i="5"/>
  <c r="N83" i="5"/>
  <c r="M83" i="5"/>
  <c r="L83" i="5"/>
  <c r="I83" i="5"/>
  <c r="H83" i="5"/>
  <c r="J83" i="5" s="1"/>
  <c r="G83" i="5"/>
  <c r="F83" i="5"/>
  <c r="E83" i="5"/>
  <c r="D83" i="5"/>
  <c r="Q82" i="5"/>
  <c r="P82" i="5"/>
  <c r="O82" i="5"/>
  <c r="N82" i="5"/>
  <c r="M82" i="5"/>
  <c r="L82" i="5"/>
  <c r="I82" i="5"/>
  <c r="H82" i="5"/>
  <c r="J82" i="5" s="1"/>
  <c r="G82" i="5"/>
  <c r="F82" i="5"/>
  <c r="E82" i="5"/>
  <c r="D82" i="5"/>
  <c r="Q81" i="5"/>
  <c r="P81" i="5"/>
  <c r="O81" i="5"/>
  <c r="N81" i="5"/>
  <c r="M81" i="5"/>
  <c r="L81" i="5"/>
  <c r="I81" i="5"/>
  <c r="H81" i="5"/>
  <c r="J81" i="5" s="1"/>
  <c r="G81" i="5"/>
  <c r="F81" i="5"/>
  <c r="E81" i="5"/>
  <c r="D81" i="5"/>
  <c r="Q80" i="5"/>
  <c r="P80" i="5"/>
  <c r="O80" i="5"/>
  <c r="N80" i="5"/>
  <c r="M80" i="5"/>
  <c r="L80" i="5"/>
  <c r="I80" i="5"/>
  <c r="H80" i="5"/>
  <c r="J80" i="5" s="1"/>
  <c r="G80" i="5"/>
  <c r="F80" i="5"/>
  <c r="E80" i="5"/>
  <c r="D80" i="5"/>
  <c r="Q79" i="5"/>
  <c r="P79" i="5"/>
  <c r="O79" i="5"/>
  <c r="N79" i="5"/>
  <c r="M79" i="5"/>
  <c r="L79" i="5"/>
  <c r="I79" i="5"/>
  <c r="H79" i="5"/>
  <c r="J79" i="5" s="1"/>
  <c r="G79" i="5"/>
  <c r="F79" i="5"/>
  <c r="E79" i="5"/>
  <c r="D79" i="5"/>
  <c r="Q78" i="5"/>
  <c r="P78" i="5"/>
  <c r="R78" i="5" s="1"/>
  <c r="O78" i="5"/>
  <c r="N78" i="5"/>
  <c r="M78" i="5"/>
  <c r="L78" i="5"/>
  <c r="I78" i="5"/>
  <c r="H78" i="5"/>
  <c r="G78" i="5"/>
  <c r="F78" i="5"/>
  <c r="E78" i="5"/>
  <c r="D78" i="5"/>
  <c r="Q77" i="5"/>
  <c r="P77" i="5"/>
  <c r="O77" i="5"/>
  <c r="N77" i="5"/>
  <c r="M77" i="5"/>
  <c r="L77" i="5"/>
  <c r="I77" i="5"/>
  <c r="H77" i="5"/>
  <c r="J77" i="5" s="1"/>
  <c r="G77" i="5"/>
  <c r="F77" i="5"/>
  <c r="E77" i="5"/>
  <c r="D77" i="5"/>
  <c r="Q76" i="5"/>
  <c r="P76" i="5"/>
  <c r="O76" i="5"/>
  <c r="N76" i="5"/>
  <c r="M76" i="5"/>
  <c r="L76" i="5"/>
  <c r="I76" i="5"/>
  <c r="H76" i="5"/>
  <c r="J76" i="5" s="1"/>
  <c r="G76" i="5"/>
  <c r="F76" i="5"/>
  <c r="E76" i="5"/>
  <c r="D76" i="5"/>
  <c r="Q75" i="5"/>
  <c r="P75" i="5"/>
  <c r="O75" i="5"/>
  <c r="N75" i="5"/>
  <c r="M75" i="5"/>
  <c r="L75" i="5"/>
  <c r="I75" i="5"/>
  <c r="H75" i="5"/>
  <c r="J75" i="5" s="1"/>
  <c r="G75" i="5"/>
  <c r="F75" i="5"/>
  <c r="E75" i="5"/>
  <c r="D75" i="5"/>
  <c r="Q74" i="5"/>
  <c r="P74" i="5"/>
  <c r="O74" i="5"/>
  <c r="N74" i="5"/>
  <c r="M74" i="5"/>
  <c r="L74" i="5"/>
  <c r="I74" i="5"/>
  <c r="H74" i="5"/>
  <c r="J74" i="5" s="1"/>
  <c r="G74" i="5"/>
  <c r="F74" i="5"/>
  <c r="E74" i="5"/>
  <c r="D74" i="5"/>
  <c r="Q73" i="5"/>
  <c r="P73" i="5"/>
  <c r="O73" i="5"/>
  <c r="N73" i="5"/>
  <c r="M73" i="5"/>
  <c r="L73" i="5"/>
  <c r="I73" i="5"/>
  <c r="H73" i="5"/>
  <c r="J73" i="5" s="1"/>
  <c r="G73" i="5"/>
  <c r="F73" i="5"/>
  <c r="E73" i="5"/>
  <c r="D73" i="5"/>
  <c r="Q72" i="5"/>
  <c r="P72" i="5"/>
  <c r="O72" i="5"/>
  <c r="N72" i="5"/>
  <c r="M72" i="5"/>
  <c r="L72" i="5"/>
  <c r="I72" i="5"/>
  <c r="H72" i="5"/>
  <c r="J72" i="5" s="1"/>
  <c r="G72" i="5"/>
  <c r="F72" i="5"/>
  <c r="E72" i="5"/>
  <c r="D72" i="5"/>
  <c r="Q71" i="5"/>
  <c r="P71" i="5"/>
  <c r="O71" i="5"/>
  <c r="N71" i="5"/>
  <c r="M71" i="5"/>
  <c r="L71" i="5"/>
  <c r="I71" i="5"/>
  <c r="H71" i="5"/>
  <c r="J71" i="5" s="1"/>
  <c r="G71" i="5"/>
  <c r="F71" i="5"/>
  <c r="E71" i="5"/>
  <c r="D71" i="5"/>
  <c r="Q70" i="5"/>
  <c r="P70" i="5"/>
  <c r="R70" i="5" s="1"/>
  <c r="O70" i="5"/>
  <c r="N70" i="5"/>
  <c r="M70" i="5"/>
  <c r="L70" i="5"/>
  <c r="I70" i="5"/>
  <c r="H70" i="5"/>
  <c r="J70" i="5" s="1"/>
  <c r="G70" i="5"/>
  <c r="F70" i="5"/>
  <c r="E70" i="5"/>
  <c r="D70" i="5"/>
  <c r="Q69" i="5"/>
  <c r="P69" i="5"/>
  <c r="O69" i="5"/>
  <c r="N69" i="5"/>
  <c r="M69" i="5"/>
  <c r="L69" i="5"/>
  <c r="I69" i="5"/>
  <c r="H69" i="5"/>
  <c r="J69" i="5" s="1"/>
  <c r="G69" i="5"/>
  <c r="F69" i="5"/>
  <c r="E69" i="5"/>
  <c r="D69" i="5"/>
  <c r="Q68" i="5"/>
  <c r="P68" i="5"/>
  <c r="R68" i="5" s="1"/>
  <c r="O68" i="5"/>
  <c r="N68" i="5"/>
  <c r="M68" i="5"/>
  <c r="L68" i="5"/>
  <c r="I68" i="5"/>
  <c r="H68" i="5"/>
  <c r="J68" i="5" s="1"/>
  <c r="G68" i="5"/>
  <c r="F68" i="5"/>
  <c r="E68" i="5"/>
  <c r="D68" i="5"/>
  <c r="Q67" i="5"/>
  <c r="P67" i="5"/>
  <c r="O67" i="5"/>
  <c r="N67" i="5"/>
  <c r="M67" i="5"/>
  <c r="L67" i="5"/>
  <c r="I67" i="5"/>
  <c r="H67" i="5"/>
  <c r="J67" i="5" s="1"/>
  <c r="G67" i="5"/>
  <c r="F67" i="5"/>
  <c r="E67" i="5"/>
  <c r="D67" i="5"/>
  <c r="Q66" i="5"/>
  <c r="P66" i="5"/>
  <c r="O66" i="5"/>
  <c r="N66" i="5"/>
  <c r="M66" i="5"/>
  <c r="L66" i="5"/>
  <c r="I66" i="5"/>
  <c r="H66" i="5"/>
  <c r="J66" i="5" s="1"/>
  <c r="G66" i="5"/>
  <c r="F66" i="5"/>
  <c r="E66" i="5"/>
  <c r="D66" i="5"/>
  <c r="C66" i="5"/>
  <c r="Q65" i="5"/>
  <c r="P65" i="5"/>
  <c r="O65" i="5"/>
  <c r="N65" i="5"/>
  <c r="M65" i="5"/>
  <c r="L65" i="5"/>
  <c r="I65" i="5"/>
  <c r="H65" i="5"/>
  <c r="J65" i="5" s="1"/>
  <c r="G65" i="5"/>
  <c r="F65" i="5"/>
  <c r="E65" i="5"/>
  <c r="D65" i="5"/>
  <c r="C65" i="5"/>
  <c r="Q64" i="5"/>
  <c r="P64" i="5"/>
  <c r="R64" i="5" s="1"/>
  <c r="O64" i="5"/>
  <c r="N64" i="5"/>
  <c r="M64" i="5"/>
  <c r="L64" i="5"/>
  <c r="I64" i="5"/>
  <c r="H64" i="5"/>
  <c r="J64" i="5" s="1"/>
  <c r="G64" i="5"/>
  <c r="F64" i="5"/>
  <c r="E64" i="5"/>
  <c r="D64" i="5"/>
  <c r="C64" i="5"/>
  <c r="Q63" i="5"/>
  <c r="P63" i="5"/>
  <c r="R63" i="5" s="1"/>
  <c r="O63" i="5"/>
  <c r="N63" i="5"/>
  <c r="M63" i="5"/>
  <c r="L63" i="5"/>
  <c r="I63" i="5"/>
  <c r="H63" i="5"/>
  <c r="J63" i="5" s="1"/>
  <c r="G63" i="5"/>
  <c r="F63" i="5"/>
  <c r="E63" i="5"/>
  <c r="D63" i="5"/>
  <c r="C63" i="5"/>
  <c r="Q62" i="5"/>
  <c r="P62" i="5"/>
  <c r="R62" i="5" s="1"/>
  <c r="O62" i="5"/>
  <c r="N62" i="5"/>
  <c r="M62" i="5"/>
  <c r="L62" i="5"/>
  <c r="I62" i="5"/>
  <c r="H62" i="5"/>
  <c r="J62" i="5" s="1"/>
  <c r="G62" i="5"/>
  <c r="F62" i="5"/>
  <c r="E62" i="5"/>
  <c r="D62" i="5"/>
  <c r="Q61" i="5"/>
  <c r="P61" i="5"/>
  <c r="R61" i="5" s="1"/>
  <c r="O61" i="5"/>
  <c r="N61" i="5"/>
  <c r="M61" i="5"/>
  <c r="L61" i="5"/>
  <c r="I61" i="5"/>
  <c r="H61" i="5"/>
  <c r="J61" i="5" s="1"/>
  <c r="G61" i="5"/>
  <c r="F61" i="5"/>
  <c r="E61" i="5"/>
  <c r="D61" i="5"/>
  <c r="Q60" i="5"/>
  <c r="P60" i="5"/>
  <c r="O60" i="5"/>
  <c r="N60" i="5"/>
  <c r="M60" i="5"/>
  <c r="L60" i="5"/>
  <c r="I60" i="5"/>
  <c r="H60" i="5"/>
  <c r="J60" i="5" s="1"/>
  <c r="G60" i="5"/>
  <c r="F60" i="5"/>
  <c r="E60" i="5"/>
  <c r="D60" i="5"/>
  <c r="Q59" i="5"/>
  <c r="P59" i="5"/>
  <c r="O59" i="5"/>
  <c r="N59" i="5"/>
  <c r="M59" i="5"/>
  <c r="L59" i="5"/>
  <c r="I59" i="5"/>
  <c r="H59" i="5"/>
  <c r="J59" i="5" s="1"/>
  <c r="G59" i="5"/>
  <c r="F59" i="5"/>
  <c r="E59" i="5"/>
  <c r="D59" i="5"/>
  <c r="Q58" i="5"/>
  <c r="P58" i="5"/>
  <c r="O58" i="5"/>
  <c r="N58" i="5"/>
  <c r="M58" i="5"/>
  <c r="L58" i="5"/>
  <c r="I58" i="5"/>
  <c r="H58" i="5"/>
  <c r="J58" i="5" s="1"/>
  <c r="G58" i="5"/>
  <c r="F58" i="5"/>
  <c r="E58" i="5"/>
  <c r="D58" i="5"/>
  <c r="Q57" i="5"/>
  <c r="P57" i="5"/>
  <c r="O57" i="5"/>
  <c r="N57" i="5"/>
  <c r="M57" i="5"/>
  <c r="L57" i="5"/>
  <c r="I57" i="5"/>
  <c r="H57" i="5"/>
  <c r="J57" i="5" s="1"/>
  <c r="G57" i="5"/>
  <c r="F57" i="5"/>
  <c r="E57" i="5"/>
  <c r="D57" i="5"/>
  <c r="Q56" i="5"/>
  <c r="P56" i="5"/>
  <c r="O56" i="5"/>
  <c r="N56" i="5"/>
  <c r="M56" i="5"/>
  <c r="L56" i="5"/>
  <c r="I56" i="5"/>
  <c r="H56" i="5"/>
  <c r="J56" i="5" s="1"/>
  <c r="G56" i="5"/>
  <c r="F56" i="5"/>
  <c r="E56" i="5"/>
  <c r="D56" i="5"/>
  <c r="Q55" i="5"/>
  <c r="P55" i="5"/>
  <c r="O55" i="5"/>
  <c r="N55" i="5"/>
  <c r="M55" i="5"/>
  <c r="L55" i="5"/>
  <c r="I55" i="5"/>
  <c r="H55" i="5"/>
  <c r="J55" i="5" s="1"/>
  <c r="G55" i="5"/>
  <c r="F55" i="5"/>
  <c r="E55" i="5"/>
  <c r="D55" i="5"/>
  <c r="Q54" i="5"/>
  <c r="P54" i="5"/>
  <c r="O54" i="5"/>
  <c r="N54" i="5"/>
  <c r="M54" i="5"/>
  <c r="L54" i="5"/>
  <c r="I54" i="5"/>
  <c r="H54" i="5"/>
  <c r="J54" i="5" s="1"/>
  <c r="G54" i="5"/>
  <c r="F54" i="5"/>
  <c r="E54" i="5"/>
  <c r="D54" i="5"/>
  <c r="Q53" i="5"/>
  <c r="P53" i="5"/>
  <c r="O53" i="5"/>
  <c r="N53" i="5"/>
  <c r="M53" i="5"/>
  <c r="L53" i="5"/>
  <c r="I53" i="5"/>
  <c r="H53" i="5"/>
  <c r="J53" i="5" s="1"/>
  <c r="G53" i="5"/>
  <c r="F53" i="5"/>
  <c r="E53" i="5"/>
  <c r="D53" i="5"/>
  <c r="Q52" i="5"/>
  <c r="P52" i="5"/>
  <c r="O52" i="5"/>
  <c r="N52" i="5"/>
  <c r="M52" i="5"/>
  <c r="L52" i="5"/>
  <c r="I52" i="5"/>
  <c r="H52" i="5"/>
  <c r="J52" i="5" s="1"/>
  <c r="G52" i="5"/>
  <c r="F52" i="5"/>
  <c r="E52" i="5"/>
  <c r="D52" i="5"/>
  <c r="Q51" i="5"/>
  <c r="P51" i="5"/>
  <c r="O51" i="5"/>
  <c r="N51" i="5"/>
  <c r="M51" i="5"/>
  <c r="L51" i="5"/>
  <c r="I51" i="5"/>
  <c r="H51" i="5"/>
  <c r="J51" i="5" s="1"/>
  <c r="G51" i="5"/>
  <c r="F51" i="5"/>
  <c r="E51" i="5"/>
  <c r="D51" i="5"/>
  <c r="Q50" i="5"/>
  <c r="P50" i="5"/>
  <c r="O50" i="5"/>
  <c r="N50" i="5"/>
  <c r="M50" i="5"/>
  <c r="L50" i="5"/>
  <c r="I50" i="5"/>
  <c r="H50" i="5"/>
  <c r="J50" i="5" s="1"/>
  <c r="G50" i="5"/>
  <c r="F50" i="5"/>
  <c r="E50" i="5"/>
  <c r="D50" i="5"/>
  <c r="Q49" i="5"/>
  <c r="P49" i="5"/>
  <c r="O49" i="5"/>
  <c r="N49" i="5"/>
  <c r="M49" i="5"/>
  <c r="L49" i="5"/>
  <c r="I49" i="5"/>
  <c r="H49" i="5"/>
  <c r="J49" i="5" s="1"/>
  <c r="G49" i="5"/>
  <c r="F49" i="5"/>
  <c r="E49" i="5"/>
  <c r="D49" i="5"/>
  <c r="Q48" i="5"/>
  <c r="P48" i="5"/>
  <c r="O48" i="5"/>
  <c r="N48" i="5"/>
  <c r="M48" i="5"/>
  <c r="L48" i="5"/>
  <c r="I48" i="5"/>
  <c r="H48" i="5"/>
  <c r="J48" i="5" s="1"/>
  <c r="G48" i="5"/>
  <c r="F48" i="5"/>
  <c r="E48" i="5"/>
  <c r="D48" i="5"/>
  <c r="Q47" i="5"/>
  <c r="P47" i="5"/>
  <c r="R47" i="5" s="1"/>
  <c r="O47" i="5"/>
  <c r="N47" i="5"/>
  <c r="M47" i="5"/>
  <c r="L47" i="5"/>
  <c r="I47" i="5"/>
  <c r="H47" i="5"/>
  <c r="J47" i="5" s="1"/>
  <c r="G47" i="5"/>
  <c r="F47" i="5"/>
  <c r="E47" i="5"/>
  <c r="D47" i="5"/>
  <c r="Q46" i="5"/>
  <c r="P46" i="5"/>
  <c r="O46" i="5"/>
  <c r="N46" i="5"/>
  <c r="M46" i="5"/>
  <c r="L46" i="5"/>
  <c r="I46" i="5"/>
  <c r="H46" i="5"/>
  <c r="J46" i="5" s="1"/>
  <c r="G46" i="5"/>
  <c r="F46" i="5"/>
  <c r="E46" i="5"/>
  <c r="D46" i="5"/>
  <c r="Q45" i="5"/>
  <c r="P45" i="5"/>
  <c r="O45" i="5"/>
  <c r="N45" i="5"/>
  <c r="M45" i="5"/>
  <c r="L45" i="5"/>
  <c r="I45" i="5"/>
  <c r="H45" i="5"/>
  <c r="J45" i="5" s="1"/>
  <c r="G45" i="5"/>
  <c r="F45" i="5"/>
  <c r="E45" i="5"/>
  <c r="D45" i="5"/>
  <c r="Q44" i="5"/>
  <c r="P44" i="5"/>
  <c r="R44" i="5" s="1"/>
  <c r="O44" i="5"/>
  <c r="N44" i="5"/>
  <c r="M44" i="5"/>
  <c r="L44" i="5"/>
  <c r="I44" i="5"/>
  <c r="H44" i="5"/>
  <c r="J44" i="5" s="1"/>
  <c r="G44" i="5"/>
  <c r="F44" i="5"/>
  <c r="E44" i="5"/>
  <c r="D44" i="5"/>
  <c r="Q43" i="5"/>
  <c r="P43" i="5"/>
  <c r="O43" i="5"/>
  <c r="N43" i="5"/>
  <c r="M43" i="5"/>
  <c r="L43" i="5"/>
  <c r="I43" i="5"/>
  <c r="H43" i="5"/>
  <c r="J43" i="5" s="1"/>
  <c r="G43" i="5"/>
  <c r="F43" i="5"/>
  <c r="E43" i="5"/>
  <c r="D43" i="5"/>
  <c r="Q42" i="5"/>
  <c r="P42" i="5"/>
  <c r="O42" i="5"/>
  <c r="N42" i="5"/>
  <c r="M42" i="5"/>
  <c r="L42" i="5"/>
  <c r="I42" i="5"/>
  <c r="H42" i="5"/>
  <c r="J42" i="5" s="1"/>
  <c r="G42" i="5"/>
  <c r="F42" i="5"/>
  <c r="E42" i="5"/>
  <c r="D42" i="5"/>
  <c r="Q41" i="5"/>
  <c r="P41" i="5"/>
  <c r="O41" i="5"/>
  <c r="N41" i="5"/>
  <c r="M41" i="5"/>
  <c r="L41" i="5"/>
  <c r="I41" i="5"/>
  <c r="H41" i="5"/>
  <c r="J41" i="5" s="1"/>
  <c r="G41" i="5"/>
  <c r="F41" i="5"/>
  <c r="E41" i="5"/>
  <c r="D41" i="5"/>
  <c r="Q40" i="5"/>
  <c r="P40" i="5"/>
  <c r="O40" i="5"/>
  <c r="N40" i="5"/>
  <c r="M40" i="5"/>
  <c r="L40" i="5"/>
  <c r="I40" i="5"/>
  <c r="H40" i="5"/>
  <c r="J40" i="5" s="1"/>
  <c r="G40" i="5"/>
  <c r="F40" i="5"/>
  <c r="E40" i="5"/>
  <c r="D40" i="5"/>
  <c r="Q39" i="5"/>
  <c r="P39" i="5"/>
  <c r="O39" i="5"/>
  <c r="N39" i="5"/>
  <c r="M39" i="5"/>
  <c r="L39" i="5"/>
  <c r="I39" i="5"/>
  <c r="H39" i="5"/>
  <c r="J39" i="5" s="1"/>
  <c r="G39" i="5"/>
  <c r="F39" i="5"/>
  <c r="E39" i="5"/>
  <c r="D39" i="5"/>
  <c r="Q38" i="5"/>
  <c r="P38" i="5"/>
  <c r="R38" i="5" s="1"/>
  <c r="O38" i="5"/>
  <c r="N38" i="5"/>
  <c r="M38" i="5"/>
  <c r="L38" i="5"/>
  <c r="I38" i="5"/>
  <c r="H38" i="5"/>
  <c r="J38" i="5" s="1"/>
  <c r="G38" i="5"/>
  <c r="F38" i="5"/>
  <c r="E38" i="5"/>
  <c r="D38" i="5"/>
  <c r="Q37" i="5"/>
  <c r="P37" i="5"/>
  <c r="O37" i="5"/>
  <c r="N37" i="5"/>
  <c r="M37" i="5"/>
  <c r="L37" i="5"/>
  <c r="I37" i="5"/>
  <c r="H37" i="5"/>
  <c r="J37" i="5" s="1"/>
  <c r="G37" i="5"/>
  <c r="F37" i="5"/>
  <c r="E37" i="5"/>
  <c r="D37" i="5"/>
  <c r="Q36" i="5"/>
  <c r="P36" i="5"/>
  <c r="O36" i="5"/>
  <c r="N36" i="5"/>
  <c r="M36" i="5"/>
  <c r="L36" i="5"/>
  <c r="I36" i="5"/>
  <c r="H36" i="5"/>
  <c r="J36" i="5" s="1"/>
  <c r="G36" i="5"/>
  <c r="F36" i="5"/>
  <c r="E36" i="5"/>
  <c r="D36" i="5"/>
  <c r="Q35" i="5"/>
  <c r="P35" i="5"/>
  <c r="R35" i="5" s="1"/>
  <c r="O35" i="5"/>
  <c r="N35" i="5"/>
  <c r="M35" i="5"/>
  <c r="L35" i="5"/>
  <c r="I35" i="5"/>
  <c r="H35" i="5"/>
  <c r="J35" i="5" s="1"/>
  <c r="G35" i="5"/>
  <c r="F35" i="5"/>
  <c r="E35" i="5"/>
  <c r="D35" i="5"/>
  <c r="Q34" i="5"/>
  <c r="P34" i="5"/>
  <c r="O34" i="5"/>
  <c r="N34" i="5"/>
  <c r="M34" i="5"/>
  <c r="L34" i="5"/>
  <c r="I34" i="5"/>
  <c r="H34" i="5"/>
  <c r="J34" i="5" s="1"/>
  <c r="G34" i="5"/>
  <c r="F34" i="5"/>
  <c r="E34" i="5"/>
  <c r="D34" i="5"/>
  <c r="Q33" i="5"/>
  <c r="P33" i="5"/>
  <c r="O33" i="5"/>
  <c r="N33" i="5"/>
  <c r="M33" i="5"/>
  <c r="L33" i="5"/>
  <c r="I33" i="5"/>
  <c r="H33" i="5"/>
  <c r="J33" i="5" s="1"/>
  <c r="G33" i="5"/>
  <c r="F33" i="5"/>
  <c r="E33" i="5"/>
  <c r="D33" i="5"/>
  <c r="Q32" i="5"/>
  <c r="P32" i="5"/>
  <c r="O32" i="5"/>
  <c r="N32" i="5"/>
  <c r="M32" i="5"/>
  <c r="L32" i="5"/>
  <c r="I32" i="5"/>
  <c r="H32" i="5"/>
  <c r="J32" i="5" s="1"/>
  <c r="G32" i="5"/>
  <c r="F32" i="5"/>
  <c r="E32" i="5"/>
  <c r="D32" i="5"/>
  <c r="Q31" i="5"/>
  <c r="P31" i="5"/>
  <c r="R31" i="5" s="1"/>
  <c r="O31" i="5"/>
  <c r="N31" i="5"/>
  <c r="M31" i="5"/>
  <c r="L31" i="5"/>
  <c r="I31" i="5"/>
  <c r="H31" i="5"/>
  <c r="J31" i="5" s="1"/>
  <c r="G31" i="5"/>
  <c r="F31" i="5"/>
  <c r="E31" i="5"/>
  <c r="D31" i="5"/>
  <c r="Q30" i="5"/>
  <c r="P30" i="5"/>
  <c r="O30" i="5"/>
  <c r="N30" i="5"/>
  <c r="M30" i="5"/>
  <c r="L30" i="5"/>
  <c r="I30" i="5"/>
  <c r="H30" i="5"/>
  <c r="J30" i="5" s="1"/>
  <c r="G30" i="5"/>
  <c r="F30" i="5"/>
  <c r="E30" i="5"/>
  <c r="D30" i="5"/>
  <c r="Q29" i="5"/>
  <c r="P29" i="5"/>
  <c r="R29" i="5" s="1"/>
  <c r="O29" i="5"/>
  <c r="N29" i="5"/>
  <c r="M29" i="5"/>
  <c r="L29" i="5"/>
  <c r="I29" i="5"/>
  <c r="H29" i="5"/>
  <c r="J29" i="5" s="1"/>
  <c r="G29" i="5"/>
  <c r="F29" i="5"/>
  <c r="E29" i="5"/>
  <c r="D29" i="5"/>
  <c r="Q28" i="5"/>
  <c r="P28" i="5"/>
  <c r="O28" i="5"/>
  <c r="N28" i="5"/>
  <c r="M28" i="5"/>
  <c r="L28" i="5"/>
  <c r="I28" i="5"/>
  <c r="H28" i="5"/>
  <c r="J28" i="5" s="1"/>
  <c r="G28" i="5"/>
  <c r="F28" i="5"/>
  <c r="E28" i="5"/>
  <c r="D28" i="5"/>
  <c r="Q27" i="5"/>
  <c r="P27" i="5"/>
  <c r="O27" i="5"/>
  <c r="N27" i="5"/>
  <c r="M27" i="5"/>
  <c r="L27" i="5"/>
  <c r="I27" i="5"/>
  <c r="H27" i="5"/>
  <c r="J27" i="5" s="1"/>
  <c r="G27" i="5"/>
  <c r="F27" i="5"/>
  <c r="E27" i="5"/>
  <c r="D27" i="5"/>
  <c r="Q106" i="4"/>
  <c r="P106" i="4"/>
  <c r="O106" i="4"/>
  <c r="N106" i="4"/>
  <c r="M106" i="4"/>
  <c r="L106" i="4"/>
  <c r="I106" i="4"/>
  <c r="H106" i="4"/>
  <c r="J106" i="4" s="1"/>
  <c r="G106" i="4"/>
  <c r="F106" i="4"/>
  <c r="E106" i="4"/>
  <c r="D106" i="4"/>
  <c r="Q105" i="4"/>
  <c r="P105" i="4"/>
  <c r="O105" i="4"/>
  <c r="N105" i="4"/>
  <c r="M105" i="4"/>
  <c r="L105" i="4"/>
  <c r="I105" i="4"/>
  <c r="H105" i="4"/>
  <c r="J105" i="4" s="1"/>
  <c r="G105" i="4"/>
  <c r="F105" i="4"/>
  <c r="E105" i="4"/>
  <c r="D105" i="4"/>
  <c r="Q104" i="4"/>
  <c r="P104" i="4"/>
  <c r="O104" i="4"/>
  <c r="N104" i="4"/>
  <c r="M104" i="4"/>
  <c r="L104" i="4"/>
  <c r="I104" i="4"/>
  <c r="H104" i="4"/>
  <c r="J104" i="4" s="1"/>
  <c r="G104" i="4"/>
  <c r="F104" i="4"/>
  <c r="E104" i="4"/>
  <c r="D104" i="4"/>
  <c r="Q103" i="4"/>
  <c r="P103" i="4"/>
  <c r="R103" i="4" s="1"/>
  <c r="O103" i="4"/>
  <c r="N103" i="4"/>
  <c r="M103" i="4"/>
  <c r="L103" i="4"/>
  <c r="I103" i="4"/>
  <c r="H103" i="4"/>
  <c r="J103" i="4" s="1"/>
  <c r="G103" i="4"/>
  <c r="F103" i="4"/>
  <c r="E103" i="4"/>
  <c r="D103" i="4"/>
  <c r="Q102" i="4"/>
  <c r="P102" i="4"/>
  <c r="O102" i="4"/>
  <c r="N102" i="4"/>
  <c r="M102" i="4"/>
  <c r="L102" i="4"/>
  <c r="I102" i="4"/>
  <c r="H102" i="4"/>
  <c r="J102" i="4" s="1"/>
  <c r="G102" i="4"/>
  <c r="F102" i="4"/>
  <c r="E102" i="4"/>
  <c r="D102" i="4"/>
  <c r="Q101" i="4"/>
  <c r="P101" i="4"/>
  <c r="O101" i="4"/>
  <c r="N101" i="4"/>
  <c r="M101" i="4"/>
  <c r="L101" i="4"/>
  <c r="I101" i="4"/>
  <c r="H101" i="4"/>
  <c r="J101" i="4" s="1"/>
  <c r="G101" i="4"/>
  <c r="F101" i="4"/>
  <c r="E101" i="4"/>
  <c r="D101" i="4"/>
  <c r="Q100" i="4"/>
  <c r="P100" i="4"/>
  <c r="O100" i="4"/>
  <c r="N100" i="4"/>
  <c r="M100" i="4"/>
  <c r="L100" i="4"/>
  <c r="I100" i="4"/>
  <c r="H100" i="4"/>
  <c r="J100" i="4" s="1"/>
  <c r="G100" i="4"/>
  <c r="F100" i="4"/>
  <c r="E100" i="4"/>
  <c r="D100" i="4"/>
  <c r="Q99" i="4"/>
  <c r="P99" i="4"/>
  <c r="O99" i="4"/>
  <c r="N99" i="4"/>
  <c r="M99" i="4"/>
  <c r="L99" i="4"/>
  <c r="I99" i="4"/>
  <c r="H99" i="4"/>
  <c r="J99" i="4" s="1"/>
  <c r="G99" i="4"/>
  <c r="F99" i="4"/>
  <c r="E99" i="4"/>
  <c r="D99" i="4"/>
  <c r="Q98" i="4"/>
  <c r="P98" i="4"/>
  <c r="O98" i="4"/>
  <c r="N98" i="4"/>
  <c r="M98" i="4"/>
  <c r="L98" i="4"/>
  <c r="I98" i="4"/>
  <c r="H98" i="4"/>
  <c r="J98" i="4" s="1"/>
  <c r="G98" i="4"/>
  <c r="F98" i="4"/>
  <c r="E98" i="4"/>
  <c r="D98" i="4"/>
  <c r="Q97" i="4"/>
  <c r="P97" i="4"/>
  <c r="R97" i="4" s="1"/>
  <c r="O97" i="4"/>
  <c r="N97" i="4"/>
  <c r="M97" i="4"/>
  <c r="L97" i="4"/>
  <c r="I97" i="4"/>
  <c r="H97" i="4"/>
  <c r="J97" i="4" s="1"/>
  <c r="G97" i="4"/>
  <c r="F97" i="4"/>
  <c r="E97" i="4"/>
  <c r="D97" i="4"/>
  <c r="Q96" i="4"/>
  <c r="P96" i="4"/>
  <c r="O96" i="4"/>
  <c r="N96" i="4"/>
  <c r="M96" i="4"/>
  <c r="L96" i="4"/>
  <c r="I96" i="4"/>
  <c r="H96" i="4"/>
  <c r="J96" i="4" s="1"/>
  <c r="G96" i="4"/>
  <c r="F96" i="4"/>
  <c r="E96" i="4"/>
  <c r="D96" i="4"/>
  <c r="Q95" i="4"/>
  <c r="P95" i="4"/>
  <c r="O95" i="4"/>
  <c r="N95" i="4"/>
  <c r="M95" i="4"/>
  <c r="L95" i="4"/>
  <c r="I95" i="4"/>
  <c r="H95" i="4"/>
  <c r="J95" i="4" s="1"/>
  <c r="G95" i="4"/>
  <c r="F95" i="4"/>
  <c r="E95" i="4"/>
  <c r="D95" i="4"/>
  <c r="Q94" i="4"/>
  <c r="P94" i="4"/>
  <c r="R94" i="4" s="1"/>
  <c r="O94" i="4"/>
  <c r="N94" i="4"/>
  <c r="M94" i="4"/>
  <c r="L94" i="4"/>
  <c r="I94" i="4"/>
  <c r="H94" i="4"/>
  <c r="J94" i="4" s="1"/>
  <c r="G94" i="4"/>
  <c r="F94" i="4"/>
  <c r="E94" i="4"/>
  <c r="D94" i="4"/>
  <c r="Q93" i="4"/>
  <c r="P93" i="4"/>
  <c r="O93" i="4"/>
  <c r="N93" i="4"/>
  <c r="M93" i="4"/>
  <c r="L93" i="4"/>
  <c r="I93" i="4"/>
  <c r="H93" i="4"/>
  <c r="J93" i="4" s="1"/>
  <c r="G93" i="4"/>
  <c r="F93" i="4"/>
  <c r="E93" i="4"/>
  <c r="D93" i="4"/>
  <c r="Q92" i="4"/>
  <c r="P92" i="4"/>
  <c r="O92" i="4"/>
  <c r="N92" i="4"/>
  <c r="M92" i="4"/>
  <c r="L92" i="4"/>
  <c r="I92" i="4"/>
  <c r="H92" i="4"/>
  <c r="J92" i="4" s="1"/>
  <c r="G92" i="4"/>
  <c r="F92" i="4"/>
  <c r="E92" i="4"/>
  <c r="D92" i="4"/>
  <c r="Q91" i="4"/>
  <c r="P91" i="4"/>
  <c r="R91" i="4" s="1"/>
  <c r="O91" i="4"/>
  <c r="N91" i="4"/>
  <c r="M91" i="4"/>
  <c r="L91" i="4"/>
  <c r="I91" i="4"/>
  <c r="H91" i="4"/>
  <c r="J91" i="4" s="1"/>
  <c r="G91" i="4"/>
  <c r="F91" i="4"/>
  <c r="E91" i="4"/>
  <c r="D91" i="4"/>
  <c r="Q78" i="4"/>
  <c r="P78" i="4"/>
  <c r="R78" i="4" s="1"/>
  <c r="O78" i="4"/>
  <c r="N78" i="4"/>
  <c r="M78" i="4"/>
  <c r="L78" i="4"/>
  <c r="I78" i="4"/>
  <c r="H78" i="4"/>
  <c r="J78" i="4" s="1"/>
  <c r="G78" i="4"/>
  <c r="F78" i="4"/>
  <c r="E78" i="4"/>
  <c r="D78" i="4"/>
  <c r="Q77" i="4"/>
  <c r="P77" i="4"/>
  <c r="R77" i="4" s="1"/>
  <c r="O77" i="4"/>
  <c r="N77" i="4"/>
  <c r="M77" i="4"/>
  <c r="L77" i="4"/>
  <c r="I77" i="4"/>
  <c r="H77" i="4"/>
  <c r="J77" i="4" s="1"/>
  <c r="G77" i="4"/>
  <c r="F77" i="4"/>
  <c r="E77" i="4"/>
  <c r="D77" i="4"/>
  <c r="Q76" i="4"/>
  <c r="P76" i="4"/>
  <c r="O76" i="4"/>
  <c r="N76" i="4"/>
  <c r="M76" i="4"/>
  <c r="L76" i="4"/>
  <c r="I76" i="4"/>
  <c r="H76" i="4"/>
  <c r="J76" i="4" s="1"/>
  <c r="G76" i="4"/>
  <c r="F76" i="4"/>
  <c r="E76" i="4"/>
  <c r="D76" i="4"/>
  <c r="Q75" i="4"/>
  <c r="P75" i="4"/>
  <c r="O75" i="4"/>
  <c r="N75" i="4"/>
  <c r="M75" i="4"/>
  <c r="L75" i="4"/>
  <c r="I75" i="4"/>
  <c r="H75" i="4"/>
  <c r="J75" i="4" s="1"/>
  <c r="G75" i="4"/>
  <c r="F75" i="4"/>
  <c r="E75" i="4"/>
  <c r="D75" i="4"/>
  <c r="Q74" i="4"/>
  <c r="P74" i="4"/>
  <c r="O74" i="4"/>
  <c r="N74" i="4"/>
  <c r="M74" i="4"/>
  <c r="L74" i="4"/>
  <c r="I74" i="4"/>
  <c r="H74" i="4"/>
  <c r="J74" i="4" s="1"/>
  <c r="G74" i="4"/>
  <c r="F74" i="4"/>
  <c r="E74" i="4"/>
  <c r="D74" i="4"/>
  <c r="Q73" i="4"/>
  <c r="P73" i="4"/>
  <c r="O73" i="4"/>
  <c r="N73" i="4"/>
  <c r="M73" i="4"/>
  <c r="L73" i="4"/>
  <c r="I73" i="4"/>
  <c r="H73" i="4"/>
  <c r="J73" i="4" s="1"/>
  <c r="G73" i="4"/>
  <c r="F73" i="4"/>
  <c r="E73" i="4"/>
  <c r="D73" i="4"/>
  <c r="Q72" i="4"/>
  <c r="P72" i="4"/>
  <c r="O72" i="4"/>
  <c r="N72" i="4"/>
  <c r="M72" i="4"/>
  <c r="L72" i="4"/>
  <c r="I72" i="4"/>
  <c r="H72" i="4"/>
  <c r="J72" i="4" s="1"/>
  <c r="G72" i="4"/>
  <c r="F72" i="4"/>
  <c r="E72" i="4"/>
  <c r="D72" i="4"/>
  <c r="Q71" i="4"/>
  <c r="P71" i="4"/>
  <c r="R71" i="4" s="1"/>
  <c r="O71" i="4"/>
  <c r="N71" i="4"/>
  <c r="M71" i="4"/>
  <c r="L71" i="4"/>
  <c r="I71" i="4"/>
  <c r="H71" i="4"/>
  <c r="J71" i="4" s="1"/>
  <c r="G71" i="4"/>
  <c r="F71" i="4"/>
  <c r="E71" i="4"/>
  <c r="D71" i="4"/>
  <c r="Q70" i="4"/>
  <c r="P70" i="4"/>
  <c r="R70" i="4" s="1"/>
  <c r="O70" i="4"/>
  <c r="N70" i="4"/>
  <c r="M70" i="4"/>
  <c r="L70" i="4"/>
  <c r="I70" i="4"/>
  <c r="H70" i="4"/>
  <c r="J70" i="4" s="1"/>
  <c r="G70" i="4"/>
  <c r="F70" i="4"/>
  <c r="E70" i="4"/>
  <c r="D70" i="4"/>
  <c r="Q69" i="4"/>
  <c r="P69" i="4"/>
  <c r="R69" i="4" s="1"/>
  <c r="O69" i="4"/>
  <c r="N69" i="4"/>
  <c r="M69" i="4"/>
  <c r="L69" i="4"/>
  <c r="I69" i="4"/>
  <c r="H69" i="4"/>
  <c r="J69" i="4" s="1"/>
  <c r="G69" i="4"/>
  <c r="F69" i="4"/>
  <c r="E69" i="4"/>
  <c r="D69" i="4"/>
  <c r="Q68" i="4"/>
  <c r="P68" i="4"/>
  <c r="R68" i="4" s="1"/>
  <c r="O68" i="4"/>
  <c r="N68" i="4"/>
  <c r="M68" i="4"/>
  <c r="L68" i="4"/>
  <c r="I68" i="4"/>
  <c r="H68" i="4"/>
  <c r="G68" i="4"/>
  <c r="F68" i="4"/>
  <c r="E68" i="4"/>
  <c r="D68" i="4"/>
  <c r="Q67" i="4"/>
  <c r="P67" i="4"/>
  <c r="O67" i="4"/>
  <c r="N67" i="4"/>
  <c r="M67" i="4"/>
  <c r="L67" i="4"/>
  <c r="I67" i="4"/>
  <c r="H67" i="4"/>
  <c r="J67" i="4" s="1"/>
  <c r="G67" i="4"/>
  <c r="F67" i="4"/>
  <c r="E67" i="4"/>
  <c r="D67" i="4"/>
  <c r="Q66" i="4"/>
  <c r="P66" i="4"/>
  <c r="R66" i="4" s="1"/>
  <c r="O66" i="4"/>
  <c r="N66" i="4"/>
  <c r="M66" i="4"/>
  <c r="L66" i="4"/>
  <c r="I66" i="4"/>
  <c r="H66" i="4"/>
  <c r="J66" i="4" s="1"/>
  <c r="G66" i="4"/>
  <c r="F66" i="4"/>
  <c r="E66" i="4"/>
  <c r="D66" i="4"/>
  <c r="C66" i="4"/>
  <c r="Q65" i="4"/>
  <c r="P65" i="4"/>
  <c r="R65" i="4" s="1"/>
  <c r="O65" i="4"/>
  <c r="N65" i="4"/>
  <c r="M65" i="4"/>
  <c r="L65" i="4"/>
  <c r="I65" i="4"/>
  <c r="H65" i="4"/>
  <c r="G65" i="4"/>
  <c r="F65" i="4"/>
  <c r="E65" i="4"/>
  <c r="D65" i="4"/>
  <c r="C65" i="4"/>
  <c r="Q64" i="4"/>
  <c r="P64" i="4"/>
  <c r="R64" i="4" s="1"/>
  <c r="O64" i="4"/>
  <c r="N64" i="4"/>
  <c r="M64" i="4"/>
  <c r="L64" i="4"/>
  <c r="I64" i="4"/>
  <c r="H64" i="4"/>
  <c r="G64" i="4"/>
  <c r="F64" i="4"/>
  <c r="E64" i="4"/>
  <c r="D64" i="4"/>
  <c r="C64" i="4"/>
  <c r="Q63" i="4"/>
  <c r="P63" i="4"/>
  <c r="R63" i="4" s="1"/>
  <c r="O63" i="4"/>
  <c r="N63" i="4"/>
  <c r="M63" i="4"/>
  <c r="L63" i="4"/>
  <c r="I63" i="4"/>
  <c r="H63" i="4"/>
  <c r="G63" i="4"/>
  <c r="F63" i="4"/>
  <c r="E63" i="4"/>
  <c r="D63" i="4"/>
  <c r="C63" i="4"/>
  <c r="Q62" i="4"/>
  <c r="P62" i="4"/>
  <c r="O62" i="4"/>
  <c r="N62" i="4"/>
  <c r="M62" i="4"/>
  <c r="L62" i="4"/>
  <c r="I62" i="4"/>
  <c r="H62" i="4"/>
  <c r="J62" i="4" s="1"/>
  <c r="G62" i="4"/>
  <c r="F62" i="4"/>
  <c r="E62" i="4"/>
  <c r="D62" i="4"/>
  <c r="Q61" i="4"/>
  <c r="P61" i="4"/>
  <c r="O61" i="4"/>
  <c r="N61" i="4"/>
  <c r="M61" i="4"/>
  <c r="L61" i="4"/>
  <c r="I61" i="4"/>
  <c r="H61" i="4"/>
  <c r="J61" i="4" s="1"/>
  <c r="G61" i="4"/>
  <c r="F61" i="4"/>
  <c r="E61" i="4"/>
  <c r="D61" i="4"/>
  <c r="Q60" i="4"/>
  <c r="P60" i="4"/>
  <c r="O60" i="4"/>
  <c r="N60" i="4"/>
  <c r="M60" i="4"/>
  <c r="L60" i="4"/>
  <c r="I60" i="4"/>
  <c r="H60" i="4"/>
  <c r="J60" i="4" s="1"/>
  <c r="G60" i="4"/>
  <c r="F60" i="4"/>
  <c r="E60" i="4"/>
  <c r="D60" i="4"/>
  <c r="Q59" i="4"/>
  <c r="P59" i="4"/>
  <c r="O59" i="4"/>
  <c r="N59" i="4"/>
  <c r="M59" i="4"/>
  <c r="L59" i="4"/>
  <c r="I59" i="4"/>
  <c r="H59" i="4"/>
  <c r="J59" i="4" s="1"/>
  <c r="G59" i="4"/>
  <c r="F59" i="4"/>
  <c r="E59" i="4"/>
  <c r="D59" i="4"/>
  <c r="Q58" i="4"/>
  <c r="P58" i="4"/>
  <c r="R58" i="4" s="1"/>
  <c r="I58" i="4"/>
  <c r="H58" i="4"/>
  <c r="J58" i="4" s="1"/>
  <c r="Q57" i="4"/>
  <c r="P57" i="4"/>
  <c r="I57" i="4"/>
  <c r="H57" i="4"/>
  <c r="J57" i="4" s="1"/>
  <c r="Q56" i="4"/>
  <c r="P56" i="4"/>
  <c r="R56" i="4" s="1"/>
  <c r="I56" i="4"/>
  <c r="H56" i="4"/>
  <c r="J56" i="4" s="1"/>
  <c r="Q55" i="4"/>
  <c r="P55" i="4"/>
  <c r="I55" i="4"/>
  <c r="H55" i="4"/>
  <c r="J55" i="4" s="1"/>
  <c r="Q54" i="4"/>
  <c r="P54" i="4"/>
  <c r="R54" i="4" s="1"/>
  <c r="I54" i="4"/>
  <c r="H54" i="4"/>
  <c r="J54" i="4" s="1"/>
  <c r="Q53" i="4"/>
  <c r="P53" i="4"/>
  <c r="R53" i="4" s="1"/>
  <c r="I53" i="4"/>
  <c r="H53" i="4"/>
  <c r="J53" i="4" s="1"/>
  <c r="Q52" i="4"/>
  <c r="P52" i="4"/>
  <c r="I52" i="4"/>
  <c r="H52" i="4"/>
  <c r="J52" i="4" s="1"/>
  <c r="Q51" i="4"/>
  <c r="P51" i="4"/>
  <c r="I51" i="4"/>
  <c r="H51" i="4"/>
  <c r="J51" i="4" s="1"/>
  <c r="Q50" i="4"/>
  <c r="P50" i="4"/>
  <c r="R50" i="4" s="1"/>
  <c r="I50" i="4"/>
  <c r="H50" i="4"/>
  <c r="J50" i="4" s="1"/>
  <c r="G50" i="4"/>
  <c r="F50" i="4"/>
  <c r="E50" i="4"/>
  <c r="D50" i="4"/>
  <c r="Q49" i="4"/>
  <c r="P49" i="4"/>
  <c r="I49" i="4"/>
  <c r="H49" i="4"/>
  <c r="J49" i="4" s="1"/>
  <c r="G49" i="4"/>
  <c r="F49" i="4"/>
  <c r="E49" i="4"/>
  <c r="D49" i="4"/>
  <c r="Q48" i="4"/>
  <c r="P48" i="4"/>
  <c r="R48" i="4" s="1"/>
  <c r="I48" i="4"/>
  <c r="H48" i="4"/>
  <c r="J48" i="4" s="1"/>
  <c r="G48" i="4"/>
  <c r="F48" i="4"/>
  <c r="E48" i="4"/>
  <c r="D48" i="4"/>
  <c r="Q47" i="4"/>
  <c r="P47" i="4"/>
  <c r="I47" i="4"/>
  <c r="H47" i="4"/>
  <c r="J47" i="4" s="1"/>
  <c r="G47" i="4"/>
  <c r="F47" i="4"/>
  <c r="E47" i="4"/>
  <c r="D47" i="4"/>
  <c r="Q46" i="4"/>
  <c r="P46" i="4"/>
  <c r="O46" i="4"/>
  <c r="N46" i="4"/>
  <c r="M46" i="4"/>
  <c r="L46" i="4"/>
  <c r="I46" i="4"/>
  <c r="H46" i="4"/>
  <c r="J46" i="4" s="1"/>
  <c r="G46" i="4"/>
  <c r="F46" i="4"/>
  <c r="E46" i="4"/>
  <c r="D46" i="4"/>
  <c r="Q45" i="4"/>
  <c r="P45" i="4"/>
  <c r="O45" i="4"/>
  <c r="N45" i="4"/>
  <c r="M45" i="4"/>
  <c r="L45" i="4"/>
  <c r="I45" i="4"/>
  <c r="H45" i="4"/>
  <c r="J45" i="4" s="1"/>
  <c r="G45" i="4"/>
  <c r="F45" i="4"/>
  <c r="E45" i="4"/>
  <c r="D45" i="4"/>
  <c r="Q44" i="4"/>
  <c r="P44" i="4"/>
  <c r="O44" i="4"/>
  <c r="N44" i="4"/>
  <c r="M44" i="4"/>
  <c r="L44" i="4"/>
  <c r="I44" i="4"/>
  <c r="H44" i="4"/>
  <c r="J44" i="4" s="1"/>
  <c r="G44" i="4"/>
  <c r="F44" i="4"/>
  <c r="E44" i="4"/>
  <c r="D44" i="4"/>
  <c r="Q43" i="4"/>
  <c r="P43" i="4"/>
  <c r="R43" i="4" s="1"/>
  <c r="O43" i="4"/>
  <c r="N43" i="4"/>
  <c r="M43" i="4"/>
  <c r="L43" i="4"/>
  <c r="I43" i="4"/>
  <c r="H43" i="4"/>
  <c r="J43" i="4" s="1"/>
  <c r="G43" i="4"/>
  <c r="F43" i="4"/>
  <c r="E43" i="4"/>
  <c r="D43" i="4"/>
  <c r="Q42" i="4"/>
  <c r="P42" i="4"/>
  <c r="I42" i="4"/>
  <c r="H42" i="4"/>
  <c r="J42" i="4" s="1"/>
  <c r="Q41" i="4"/>
  <c r="P41" i="4"/>
  <c r="I41" i="4"/>
  <c r="H41" i="4"/>
  <c r="J41" i="4" s="1"/>
  <c r="Q40" i="4"/>
  <c r="P40" i="4"/>
  <c r="O40" i="4"/>
  <c r="N40" i="4"/>
  <c r="M40" i="4"/>
  <c r="L40" i="4"/>
  <c r="I40" i="4"/>
  <c r="H40" i="4"/>
  <c r="J40" i="4" s="1"/>
  <c r="G40" i="4"/>
  <c r="F40" i="4"/>
  <c r="E40" i="4"/>
  <c r="D40" i="4"/>
  <c r="Q39" i="4"/>
  <c r="P39" i="4"/>
  <c r="O39" i="4"/>
  <c r="N39" i="4"/>
  <c r="M39" i="4"/>
  <c r="L39" i="4"/>
  <c r="I39" i="4"/>
  <c r="H39" i="4"/>
  <c r="J39" i="4" s="1"/>
  <c r="G39" i="4"/>
  <c r="F39" i="4"/>
  <c r="E39" i="4"/>
  <c r="D39" i="4"/>
  <c r="Q38" i="4"/>
  <c r="P38" i="4"/>
  <c r="O38" i="4"/>
  <c r="N38" i="4"/>
  <c r="M38" i="4"/>
  <c r="L38" i="4"/>
  <c r="I38" i="4"/>
  <c r="H38" i="4"/>
  <c r="J38" i="4" s="1"/>
  <c r="G38" i="4"/>
  <c r="F38" i="4"/>
  <c r="E38" i="4"/>
  <c r="D38" i="4"/>
  <c r="Q37" i="4"/>
  <c r="P37" i="4"/>
  <c r="O37" i="4"/>
  <c r="N37" i="4"/>
  <c r="M37" i="4"/>
  <c r="L37" i="4"/>
  <c r="I37" i="4"/>
  <c r="H37" i="4"/>
  <c r="J37" i="4" s="1"/>
  <c r="G37" i="4"/>
  <c r="F37" i="4"/>
  <c r="E37" i="4"/>
  <c r="D37" i="4"/>
  <c r="Q36" i="4"/>
  <c r="P36" i="4"/>
  <c r="O36" i="4"/>
  <c r="N36" i="4"/>
  <c r="M36" i="4"/>
  <c r="L36" i="4"/>
  <c r="I36" i="4"/>
  <c r="H36" i="4"/>
  <c r="J36" i="4" s="1"/>
  <c r="G36" i="4"/>
  <c r="F36" i="4"/>
  <c r="E36" i="4"/>
  <c r="D36" i="4"/>
  <c r="Q35" i="4"/>
  <c r="P35" i="4"/>
  <c r="O35" i="4"/>
  <c r="N35" i="4"/>
  <c r="M35" i="4"/>
  <c r="L35" i="4"/>
  <c r="I35" i="4"/>
  <c r="H35" i="4"/>
  <c r="J35" i="4" s="1"/>
  <c r="G35" i="4"/>
  <c r="F35" i="4"/>
  <c r="E35" i="4"/>
  <c r="D35" i="4"/>
  <c r="Q34" i="4"/>
  <c r="P34" i="4"/>
  <c r="R34" i="4" s="1"/>
  <c r="O34" i="4"/>
  <c r="N34" i="4"/>
  <c r="M34" i="4"/>
  <c r="L34" i="4"/>
  <c r="I34" i="4"/>
  <c r="H34" i="4"/>
  <c r="G34" i="4"/>
  <c r="F34" i="4"/>
  <c r="E34" i="4"/>
  <c r="D34" i="4"/>
  <c r="Q33" i="4"/>
  <c r="P33" i="4"/>
  <c r="O33" i="4"/>
  <c r="N33" i="4"/>
  <c r="M33" i="4"/>
  <c r="L33" i="4"/>
  <c r="I33" i="4"/>
  <c r="H33" i="4"/>
  <c r="J33" i="4" s="1"/>
  <c r="G33" i="4"/>
  <c r="F33" i="4"/>
  <c r="E33" i="4"/>
  <c r="D33" i="4"/>
  <c r="Q32" i="4"/>
  <c r="P32" i="4"/>
  <c r="O32" i="4"/>
  <c r="N32" i="4"/>
  <c r="M32" i="4"/>
  <c r="L32" i="4"/>
  <c r="I32" i="4"/>
  <c r="H32" i="4"/>
  <c r="J32" i="4" s="1"/>
  <c r="G32" i="4"/>
  <c r="F32" i="4"/>
  <c r="E32" i="4"/>
  <c r="D32" i="4"/>
  <c r="Q31" i="4"/>
  <c r="P31" i="4"/>
  <c r="O31" i="4"/>
  <c r="N31" i="4"/>
  <c r="M31" i="4"/>
  <c r="L31" i="4"/>
  <c r="I31" i="4"/>
  <c r="H31" i="4"/>
  <c r="J31" i="4" s="1"/>
  <c r="G31" i="4"/>
  <c r="F31" i="4"/>
  <c r="E31" i="4"/>
  <c r="D31" i="4"/>
  <c r="Q30" i="4"/>
  <c r="P30" i="4"/>
  <c r="R30" i="4" s="1"/>
  <c r="O30" i="4"/>
  <c r="N30" i="4"/>
  <c r="M30" i="4"/>
  <c r="L30" i="4"/>
  <c r="I30" i="4"/>
  <c r="H30" i="4"/>
  <c r="G30" i="4"/>
  <c r="F30" i="4"/>
  <c r="E30" i="4"/>
  <c r="D30" i="4"/>
  <c r="Q29" i="4"/>
  <c r="P29" i="4"/>
  <c r="O29" i="4"/>
  <c r="N29" i="4"/>
  <c r="M29" i="4"/>
  <c r="L29" i="4"/>
  <c r="I29" i="4"/>
  <c r="H29" i="4"/>
  <c r="J29" i="4" s="1"/>
  <c r="G29" i="4"/>
  <c r="F29" i="4"/>
  <c r="E29" i="4"/>
  <c r="D29" i="4"/>
  <c r="Q28" i="4"/>
  <c r="P28" i="4"/>
  <c r="O28" i="4"/>
  <c r="N28" i="4"/>
  <c r="M28" i="4"/>
  <c r="L28" i="4"/>
  <c r="I28" i="4"/>
  <c r="H28" i="4"/>
  <c r="J28" i="4" s="1"/>
  <c r="G28" i="4"/>
  <c r="F28" i="4"/>
  <c r="E28" i="4"/>
  <c r="D28" i="4"/>
  <c r="Q27" i="4"/>
  <c r="P27" i="4"/>
  <c r="O27" i="4"/>
  <c r="N27" i="4"/>
  <c r="M27" i="4"/>
  <c r="L27" i="4"/>
  <c r="I27" i="4"/>
  <c r="H27" i="4"/>
  <c r="J27" i="4" s="1"/>
  <c r="G27" i="4"/>
  <c r="F27" i="4"/>
  <c r="E27" i="4"/>
  <c r="D27" i="4"/>
  <c r="Q26" i="4"/>
  <c r="P26" i="4"/>
  <c r="O26" i="4"/>
  <c r="N26" i="4"/>
  <c r="M26" i="4"/>
  <c r="L26" i="4"/>
  <c r="I26" i="4"/>
  <c r="H26" i="4"/>
  <c r="J26" i="4" s="1"/>
  <c r="G26" i="4"/>
  <c r="F26" i="4"/>
  <c r="E26" i="4"/>
  <c r="D26" i="4"/>
  <c r="Q25" i="4"/>
  <c r="P25" i="4"/>
  <c r="O25" i="4"/>
  <c r="N25" i="4"/>
  <c r="M25" i="4"/>
  <c r="L25" i="4"/>
  <c r="I25" i="4"/>
  <c r="H25" i="4"/>
  <c r="J25" i="4" s="1"/>
  <c r="G25" i="4"/>
  <c r="F25" i="4"/>
  <c r="E25" i="4"/>
  <c r="D25" i="4"/>
  <c r="Q24" i="4"/>
  <c r="P24" i="4"/>
  <c r="R24" i="4" s="1"/>
  <c r="O24" i="4"/>
  <c r="N24" i="4"/>
  <c r="M24" i="4"/>
  <c r="L24" i="4"/>
  <c r="I24" i="4"/>
  <c r="H24" i="4"/>
  <c r="J24" i="4" s="1"/>
  <c r="G24" i="4"/>
  <c r="F24" i="4"/>
  <c r="E24" i="4"/>
  <c r="D24" i="4"/>
  <c r="Q23" i="4"/>
  <c r="P23" i="4"/>
  <c r="R23" i="4" s="1"/>
  <c r="O23" i="4"/>
  <c r="N23" i="4"/>
  <c r="M23" i="4"/>
  <c r="L23" i="4"/>
  <c r="I23" i="4"/>
  <c r="H23" i="4"/>
  <c r="J23" i="4" s="1"/>
  <c r="G23" i="4"/>
  <c r="F23" i="4"/>
  <c r="E23" i="4"/>
  <c r="D23" i="4"/>
  <c r="Q22" i="4"/>
  <c r="P22" i="4"/>
  <c r="O22" i="4"/>
  <c r="N22" i="4"/>
  <c r="M22" i="4"/>
  <c r="L22" i="4"/>
  <c r="I22" i="4"/>
  <c r="H22" i="4"/>
  <c r="J22" i="4" s="1"/>
  <c r="G22" i="4"/>
  <c r="F22" i="4"/>
  <c r="E22" i="4"/>
  <c r="D22" i="4"/>
  <c r="Q21" i="4"/>
  <c r="P21" i="4"/>
  <c r="O21" i="4"/>
  <c r="N21" i="4"/>
  <c r="M21" i="4"/>
  <c r="L21" i="4"/>
  <c r="I21" i="4"/>
  <c r="H21" i="4"/>
  <c r="J21" i="4" s="1"/>
  <c r="G21" i="4"/>
  <c r="F21" i="4"/>
  <c r="E21" i="4"/>
  <c r="D21" i="4"/>
  <c r="Q20" i="4"/>
  <c r="P20" i="4"/>
  <c r="O20" i="4"/>
  <c r="N20" i="4"/>
  <c r="M20" i="4"/>
  <c r="L20" i="4"/>
  <c r="I20" i="4"/>
  <c r="H20" i="4"/>
  <c r="J20" i="4" s="1"/>
  <c r="G20" i="4"/>
  <c r="F20" i="4"/>
  <c r="E20" i="4"/>
  <c r="D20" i="4"/>
  <c r="Q19" i="4"/>
  <c r="P19" i="4"/>
  <c r="O19" i="4"/>
  <c r="N19" i="4"/>
  <c r="M19" i="4"/>
  <c r="L19" i="4"/>
  <c r="I19" i="4"/>
  <c r="H19" i="4"/>
  <c r="J19" i="4" s="1"/>
  <c r="G19" i="4"/>
  <c r="F19" i="4"/>
  <c r="E19" i="4"/>
  <c r="D19" i="4"/>
  <c r="Q18" i="4"/>
  <c r="P18" i="4"/>
  <c r="O18" i="4"/>
  <c r="N18" i="4"/>
  <c r="M18" i="4"/>
  <c r="L18" i="4"/>
  <c r="I18" i="4"/>
  <c r="H18" i="4"/>
  <c r="J18" i="4" s="1"/>
  <c r="G18" i="4"/>
  <c r="F18" i="4"/>
  <c r="E18" i="4"/>
  <c r="D18" i="4"/>
  <c r="Q17" i="4"/>
  <c r="P17" i="4"/>
  <c r="R17" i="4" s="1"/>
  <c r="O17" i="4"/>
  <c r="N17" i="4"/>
  <c r="M17" i="4"/>
  <c r="L17" i="4"/>
  <c r="I17" i="4"/>
  <c r="H17" i="4"/>
  <c r="G17" i="4"/>
  <c r="F17" i="4"/>
  <c r="E17" i="4"/>
  <c r="D17" i="4"/>
  <c r="Q16" i="4"/>
  <c r="P16" i="4"/>
  <c r="R16" i="4" s="1"/>
  <c r="O16" i="4"/>
  <c r="N16" i="4"/>
  <c r="M16" i="4"/>
  <c r="L16" i="4"/>
  <c r="I16" i="4"/>
  <c r="H16" i="4"/>
  <c r="J16" i="4" s="1"/>
  <c r="G16" i="4"/>
  <c r="F16" i="4"/>
  <c r="E16" i="4"/>
  <c r="D16" i="4"/>
  <c r="Q15" i="4"/>
  <c r="P15" i="4"/>
  <c r="R15" i="4" s="1"/>
  <c r="O15" i="4"/>
  <c r="N15" i="4"/>
  <c r="M15" i="4"/>
  <c r="L15" i="4"/>
  <c r="I15" i="4"/>
  <c r="H15" i="4"/>
  <c r="J15" i="4" s="1"/>
  <c r="G15" i="4"/>
  <c r="F15" i="4"/>
  <c r="E15" i="4"/>
  <c r="D15" i="4"/>
  <c r="Q14" i="4"/>
  <c r="P14" i="4"/>
  <c r="O14" i="4"/>
  <c r="N14" i="4"/>
  <c r="M14" i="4"/>
  <c r="L14" i="4"/>
  <c r="I14" i="4"/>
  <c r="H14" i="4"/>
  <c r="J14" i="4" s="1"/>
  <c r="G14" i="4"/>
  <c r="F14" i="4"/>
  <c r="E14" i="4"/>
  <c r="D14" i="4"/>
  <c r="Q13" i="4"/>
  <c r="P13" i="4"/>
  <c r="O13" i="4"/>
  <c r="N13" i="4"/>
  <c r="M13" i="4"/>
  <c r="L13" i="4"/>
  <c r="I13" i="4"/>
  <c r="H13" i="4"/>
  <c r="J13" i="4" s="1"/>
  <c r="G13" i="4"/>
  <c r="F13" i="4"/>
  <c r="E13" i="4"/>
  <c r="D13" i="4"/>
  <c r="Q12" i="4"/>
  <c r="P12" i="4"/>
  <c r="O12" i="4"/>
  <c r="N12" i="4"/>
  <c r="M12" i="4"/>
  <c r="L12" i="4"/>
  <c r="I12" i="4"/>
  <c r="H12" i="4"/>
  <c r="J12" i="4" s="1"/>
  <c r="G12" i="4"/>
  <c r="F12" i="4"/>
  <c r="E12" i="4"/>
  <c r="D12" i="4"/>
  <c r="Q11" i="4"/>
  <c r="P11" i="4"/>
  <c r="O11" i="4"/>
  <c r="N11" i="4"/>
  <c r="M11" i="4"/>
  <c r="L11" i="4"/>
  <c r="I11" i="4"/>
  <c r="H11" i="4"/>
  <c r="J11" i="4" s="1"/>
  <c r="G11" i="4"/>
  <c r="F11" i="4"/>
  <c r="E11" i="4"/>
  <c r="D11" i="4"/>
  <c r="Q10" i="4"/>
  <c r="P10" i="4"/>
  <c r="R10" i="4" s="1"/>
  <c r="O10" i="4"/>
  <c r="N10" i="4"/>
  <c r="M10" i="4"/>
  <c r="L10" i="4"/>
  <c r="I10" i="4"/>
  <c r="H10" i="4"/>
  <c r="G10" i="4"/>
  <c r="F10" i="4"/>
  <c r="E10" i="4"/>
  <c r="D10" i="4"/>
  <c r="Q9" i="4"/>
  <c r="P9" i="4"/>
  <c r="R9" i="4" s="1"/>
  <c r="O9" i="4"/>
  <c r="N9" i="4"/>
  <c r="M9" i="4"/>
  <c r="L9" i="4"/>
  <c r="I9" i="4"/>
  <c r="H9" i="4"/>
  <c r="J9" i="4" s="1"/>
  <c r="G9" i="4"/>
  <c r="F9" i="4"/>
  <c r="E9" i="4"/>
  <c r="D9" i="4"/>
  <c r="Q8" i="4"/>
  <c r="P8" i="4"/>
  <c r="R8" i="4" s="1"/>
  <c r="O8" i="4"/>
  <c r="N8" i="4"/>
  <c r="M8" i="4"/>
  <c r="L8" i="4"/>
  <c r="I8" i="4"/>
  <c r="H8" i="4"/>
  <c r="J8" i="4" s="1"/>
  <c r="G8" i="4"/>
  <c r="F8" i="4"/>
  <c r="E8" i="4"/>
  <c r="D8" i="4"/>
  <c r="Q7" i="4"/>
  <c r="P7" i="4"/>
  <c r="R7" i="4" s="1"/>
  <c r="O7" i="4"/>
  <c r="N7" i="4"/>
  <c r="M7" i="4"/>
  <c r="L7" i="4"/>
  <c r="I7" i="4"/>
  <c r="H7" i="4"/>
  <c r="J7" i="4" s="1"/>
  <c r="G7" i="4"/>
  <c r="F7" i="4"/>
  <c r="E7" i="4"/>
  <c r="D7" i="4"/>
  <c r="Q6" i="4"/>
  <c r="P6" i="4"/>
  <c r="R6" i="4" s="1"/>
  <c r="O6" i="4"/>
  <c r="N6" i="4"/>
  <c r="M6" i="4"/>
  <c r="L6" i="4"/>
  <c r="I6" i="4"/>
  <c r="H6" i="4"/>
  <c r="G6" i="4"/>
  <c r="F6" i="4"/>
  <c r="E6" i="4"/>
  <c r="D6" i="4"/>
  <c r="Q5" i="4"/>
  <c r="P5" i="4"/>
  <c r="R5" i="4" s="1"/>
  <c r="O5" i="4"/>
  <c r="N5" i="4"/>
  <c r="M5" i="4"/>
  <c r="L5" i="4"/>
  <c r="I5" i="4"/>
  <c r="H5" i="4"/>
  <c r="J5" i="4" s="1"/>
  <c r="G5" i="4"/>
  <c r="F5" i="4"/>
  <c r="E5" i="4"/>
  <c r="D5" i="4"/>
  <c r="Q4" i="4"/>
  <c r="P4" i="4"/>
  <c r="O4" i="4"/>
  <c r="N4" i="4"/>
  <c r="M4" i="4"/>
  <c r="L4" i="4"/>
  <c r="I4" i="4"/>
  <c r="H4" i="4"/>
  <c r="J4" i="4" s="1"/>
  <c r="G4" i="4"/>
  <c r="F4" i="4"/>
  <c r="E4" i="4"/>
  <c r="D4" i="4"/>
  <c r="Q3" i="4"/>
  <c r="P3" i="4"/>
  <c r="O3" i="4"/>
  <c r="N3" i="4"/>
  <c r="M3" i="4"/>
  <c r="L3" i="4"/>
  <c r="I3" i="4"/>
  <c r="H3" i="4"/>
  <c r="J3" i="4" s="1"/>
  <c r="G3" i="4"/>
  <c r="F3" i="4"/>
  <c r="E3" i="4"/>
  <c r="D3" i="4"/>
  <c r="Q106" i="3"/>
  <c r="P106" i="3"/>
  <c r="R106" i="3" s="1"/>
  <c r="O106" i="3"/>
  <c r="N106" i="3"/>
  <c r="M106" i="3"/>
  <c r="L106" i="3"/>
  <c r="I106" i="3"/>
  <c r="H106" i="3"/>
  <c r="J106" i="3" s="1"/>
  <c r="G106" i="3"/>
  <c r="F106" i="3"/>
  <c r="E106" i="3"/>
  <c r="D106" i="3"/>
  <c r="Q105" i="3"/>
  <c r="P105" i="3"/>
  <c r="O105" i="3"/>
  <c r="N105" i="3"/>
  <c r="M105" i="3"/>
  <c r="L105" i="3"/>
  <c r="I105" i="3"/>
  <c r="H105" i="3"/>
  <c r="J105" i="3" s="1"/>
  <c r="G105" i="3"/>
  <c r="F105" i="3"/>
  <c r="E105" i="3"/>
  <c r="D105" i="3"/>
  <c r="Q104" i="3"/>
  <c r="P104" i="3"/>
  <c r="R104" i="3" s="1"/>
  <c r="O104" i="3"/>
  <c r="N104" i="3"/>
  <c r="M104" i="3"/>
  <c r="L104" i="3"/>
  <c r="I104" i="3"/>
  <c r="H104" i="3"/>
  <c r="J104" i="3" s="1"/>
  <c r="G104" i="3"/>
  <c r="F104" i="3"/>
  <c r="E104" i="3"/>
  <c r="D104" i="3"/>
  <c r="Q103" i="3"/>
  <c r="P103" i="3"/>
  <c r="O103" i="3"/>
  <c r="N103" i="3"/>
  <c r="M103" i="3"/>
  <c r="L103" i="3"/>
  <c r="I103" i="3"/>
  <c r="H103" i="3"/>
  <c r="J103" i="3" s="1"/>
  <c r="G103" i="3"/>
  <c r="F103" i="3"/>
  <c r="E103" i="3"/>
  <c r="D103" i="3"/>
  <c r="Q102" i="3"/>
  <c r="P102" i="3"/>
  <c r="O102" i="3"/>
  <c r="N102" i="3"/>
  <c r="M102" i="3"/>
  <c r="L102" i="3"/>
  <c r="I102" i="3"/>
  <c r="H102" i="3"/>
  <c r="J102" i="3" s="1"/>
  <c r="G102" i="3"/>
  <c r="F102" i="3"/>
  <c r="E102" i="3"/>
  <c r="D102" i="3"/>
  <c r="Q101" i="3"/>
  <c r="P101" i="3"/>
  <c r="R101" i="3" s="1"/>
  <c r="O101" i="3"/>
  <c r="N101" i="3"/>
  <c r="M101" i="3"/>
  <c r="L101" i="3"/>
  <c r="I101" i="3"/>
  <c r="H101" i="3"/>
  <c r="J101" i="3" s="1"/>
  <c r="G101" i="3"/>
  <c r="F101" i="3"/>
  <c r="E101" i="3"/>
  <c r="D101" i="3"/>
  <c r="Q100" i="3"/>
  <c r="P100" i="3"/>
  <c r="R100" i="3" s="1"/>
  <c r="O100" i="3"/>
  <c r="N100" i="3"/>
  <c r="M100" i="3"/>
  <c r="L100" i="3"/>
  <c r="I100" i="3"/>
  <c r="H100" i="3"/>
  <c r="G100" i="3"/>
  <c r="F100" i="3"/>
  <c r="E100" i="3"/>
  <c r="D100" i="3"/>
  <c r="Q99" i="3"/>
  <c r="P99" i="3"/>
  <c r="O99" i="3"/>
  <c r="N99" i="3"/>
  <c r="M99" i="3"/>
  <c r="L99" i="3"/>
  <c r="I99" i="3"/>
  <c r="H99" i="3"/>
  <c r="J99" i="3" s="1"/>
  <c r="G99" i="3"/>
  <c r="F99" i="3"/>
  <c r="E99" i="3"/>
  <c r="D99" i="3"/>
  <c r="Q98" i="3"/>
  <c r="P98" i="3"/>
  <c r="O98" i="3"/>
  <c r="N98" i="3"/>
  <c r="M98" i="3"/>
  <c r="L98" i="3"/>
  <c r="I98" i="3"/>
  <c r="H98" i="3"/>
  <c r="J98" i="3" s="1"/>
  <c r="G98" i="3"/>
  <c r="F98" i="3"/>
  <c r="E98" i="3"/>
  <c r="D98" i="3"/>
  <c r="Q97" i="3"/>
  <c r="P97" i="3"/>
  <c r="O97" i="3"/>
  <c r="N97" i="3"/>
  <c r="M97" i="3"/>
  <c r="L97" i="3"/>
  <c r="I97" i="3"/>
  <c r="H97" i="3"/>
  <c r="J97" i="3" s="1"/>
  <c r="G97" i="3"/>
  <c r="F97" i="3"/>
  <c r="E97" i="3"/>
  <c r="D97" i="3"/>
  <c r="Q96" i="3"/>
  <c r="P96" i="3"/>
  <c r="O96" i="3"/>
  <c r="N96" i="3"/>
  <c r="M96" i="3"/>
  <c r="L96" i="3"/>
  <c r="I96" i="3"/>
  <c r="H96" i="3"/>
  <c r="J96" i="3" s="1"/>
  <c r="G96" i="3"/>
  <c r="F96" i="3"/>
  <c r="E96" i="3"/>
  <c r="D96" i="3"/>
  <c r="Q95" i="3"/>
  <c r="P95" i="3"/>
  <c r="R95" i="3" s="1"/>
  <c r="O95" i="3"/>
  <c r="N95" i="3"/>
  <c r="M95" i="3"/>
  <c r="L95" i="3"/>
  <c r="I95" i="3"/>
  <c r="H95" i="3"/>
  <c r="J95" i="3" s="1"/>
  <c r="G95" i="3"/>
  <c r="F95" i="3"/>
  <c r="E95" i="3"/>
  <c r="D95" i="3"/>
  <c r="Q94" i="3"/>
  <c r="P94" i="3"/>
  <c r="R94" i="3" s="1"/>
  <c r="O94" i="3"/>
  <c r="N94" i="3"/>
  <c r="M94" i="3"/>
  <c r="L94" i="3"/>
  <c r="I94" i="3"/>
  <c r="H94" i="3"/>
  <c r="J94" i="3" s="1"/>
  <c r="G94" i="3"/>
  <c r="F94" i="3"/>
  <c r="E94" i="3"/>
  <c r="D94" i="3"/>
  <c r="Q93" i="3"/>
  <c r="P93" i="3"/>
  <c r="R93" i="3" s="1"/>
  <c r="O93" i="3"/>
  <c r="N93" i="3"/>
  <c r="M93" i="3"/>
  <c r="L93" i="3"/>
  <c r="I93" i="3"/>
  <c r="H93" i="3"/>
  <c r="J93" i="3" s="1"/>
  <c r="G93" i="3"/>
  <c r="F93" i="3"/>
  <c r="E93" i="3"/>
  <c r="D93" i="3"/>
  <c r="Q92" i="3"/>
  <c r="P92" i="3"/>
  <c r="R92" i="3" s="1"/>
  <c r="O92" i="3"/>
  <c r="N92" i="3"/>
  <c r="M92" i="3"/>
  <c r="L92" i="3"/>
  <c r="I92" i="3"/>
  <c r="H92" i="3"/>
  <c r="G92" i="3"/>
  <c r="F92" i="3"/>
  <c r="E92" i="3"/>
  <c r="D92" i="3"/>
  <c r="Q91" i="3"/>
  <c r="P91" i="3"/>
  <c r="R91" i="3" s="1"/>
  <c r="O91" i="3"/>
  <c r="N91" i="3"/>
  <c r="M91" i="3"/>
  <c r="L91" i="3"/>
  <c r="I91" i="3"/>
  <c r="H91" i="3"/>
  <c r="J91" i="3" s="1"/>
  <c r="G91" i="3"/>
  <c r="F91" i="3"/>
  <c r="E91" i="3"/>
  <c r="D91" i="3"/>
  <c r="Q90" i="3"/>
  <c r="P90" i="3"/>
  <c r="O90" i="3"/>
  <c r="N90" i="3"/>
  <c r="M90" i="3"/>
  <c r="L90" i="3"/>
  <c r="I90" i="3"/>
  <c r="H90" i="3"/>
  <c r="J90" i="3" s="1"/>
  <c r="G90" i="3"/>
  <c r="F90" i="3"/>
  <c r="E90" i="3"/>
  <c r="D90" i="3"/>
  <c r="Q89" i="3"/>
  <c r="P89" i="3"/>
  <c r="O89" i="3"/>
  <c r="N89" i="3"/>
  <c r="M89" i="3"/>
  <c r="L89" i="3"/>
  <c r="I89" i="3"/>
  <c r="H89" i="3"/>
  <c r="J89" i="3" s="1"/>
  <c r="G89" i="3"/>
  <c r="F89" i="3"/>
  <c r="E89" i="3"/>
  <c r="D89" i="3"/>
  <c r="Q88" i="3"/>
  <c r="P88" i="3"/>
  <c r="R88" i="3" s="1"/>
  <c r="O88" i="3"/>
  <c r="N88" i="3"/>
  <c r="M88" i="3"/>
  <c r="L88" i="3"/>
  <c r="I88" i="3"/>
  <c r="H88" i="3"/>
  <c r="G88" i="3"/>
  <c r="F88" i="3"/>
  <c r="E88" i="3"/>
  <c r="D88" i="3"/>
  <c r="Q87" i="3"/>
  <c r="P87" i="3"/>
  <c r="R87" i="3" s="1"/>
  <c r="O87" i="3"/>
  <c r="N87" i="3"/>
  <c r="M87" i="3"/>
  <c r="L87" i="3"/>
  <c r="I87" i="3"/>
  <c r="H87" i="3"/>
  <c r="J87" i="3" s="1"/>
  <c r="G87" i="3"/>
  <c r="F87" i="3"/>
  <c r="E87" i="3"/>
  <c r="D87" i="3"/>
  <c r="Q86" i="3"/>
  <c r="P86" i="3"/>
  <c r="R86" i="3" s="1"/>
  <c r="O86" i="3"/>
  <c r="N86" i="3"/>
  <c r="M86" i="3"/>
  <c r="L86" i="3"/>
  <c r="I86" i="3"/>
  <c r="H86" i="3"/>
  <c r="J86" i="3" s="1"/>
  <c r="G86" i="3"/>
  <c r="F86" i="3"/>
  <c r="E86" i="3"/>
  <c r="D86" i="3"/>
  <c r="Q85" i="3"/>
  <c r="P85" i="3"/>
  <c r="O85" i="3"/>
  <c r="N85" i="3"/>
  <c r="M85" i="3"/>
  <c r="L85" i="3"/>
  <c r="I85" i="3"/>
  <c r="H85" i="3"/>
  <c r="J85" i="3" s="1"/>
  <c r="G85" i="3"/>
  <c r="F85" i="3"/>
  <c r="E85" i="3"/>
  <c r="D85" i="3"/>
  <c r="Q84" i="3"/>
  <c r="P84" i="3"/>
  <c r="R84" i="3" s="1"/>
  <c r="O84" i="3"/>
  <c r="N84" i="3"/>
  <c r="M84" i="3"/>
  <c r="L84" i="3"/>
  <c r="I84" i="3"/>
  <c r="H84" i="3"/>
  <c r="J84" i="3" s="1"/>
  <c r="G84" i="3"/>
  <c r="F84" i="3"/>
  <c r="E84" i="3"/>
  <c r="D84" i="3"/>
  <c r="Q83" i="3"/>
  <c r="P83" i="3"/>
  <c r="R83" i="3" s="1"/>
  <c r="O83" i="3"/>
  <c r="N83" i="3"/>
  <c r="M83" i="3"/>
  <c r="L83" i="3"/>
  <c r="I83" i="3"/>
  <c r="H83" i="3"/>
  <c r="J83" i="3" s="1"/>
  <c r="G83" i="3"/>
  <c r="F83" i="3"/>
  <c r="E83" i="3"/>
  <c r="D83" i="3"/>
  <c r="Q82" i="3"/>
  <c r="P82" i="3"/>
  <c r="R82" i="3" s="1"/>
  <c r="O82" i="3"/>
  <c r="N82" i="3"/>
  <c r="M82" i="3"/>
  <c r="L82" i="3"/>
  <c r="I82" i="3"/>
  <c r="H82" i="3"/>
  <c r="J82" i="3" s="1"/>
  <c r="G82" i="3"/>
  <c r="F82" i="3"/>
  <c r="E82" i="3"/>
  <c r="D82" i="3"/>
  <c r="Q81" i="3"/>
  <c r="P81" i="3"/>
  <c r="O81" i="3"/>
  <c r="N81" i="3"/>
  <c r="M81" i="3"/>
  <c r="L81" i="3"/>
  <c r="I81" i="3"/>
  <c r="H81" i="3"/>
  <c r="J81" i="3" s="1"/>
  <c r="G81" i="3"/>
  <c r="F81" i="3"/>
  <c r="E81" i="3"/>
  <c r="D81" i="3"/>
  <c r="Q80" i="3"/>
  <c r="P80" i="3"/>
  <c r="R80" i="3" s="1"/>
  <c r="O80" i="3"/>
  <c r="N80" i="3"/>
  <c r="M80" i="3"/>
  <c r="L80" i="3"/>
  <c r="I80" i="3"/>
  <c r="H80" i="3"/>
  <c r="G80" i="3"/>
  <c r="F80" i="3"/>
  <c r="E80" i="3"/>
  <c r="D80" i="3"/>
  <c r="Q79" i="3"/>
  <c r="P79" i="3"/>
  <c r="R79" i="3" s="1"/>
  <c r="O79" i="3"/>
  <c r="N79" i="3"/>
  <c r="M79" i="3"/>
  <c r="L79" i="3"/>
  <c r="I79" i="3"/>
  <c r="H79" i="3"/>
  <c r="J79" i="3" s="1"/>
  <c r="G79" i="3"/>
  <c r="F79" i="3"/>
  <c r="E79" i="3"/>
  <c r="D79" i="3"/>
  <c r="Q78" i="3"/>
  <c r="P78" i="3"/>
  <c r="O78" i="3"/>
  <c r="N78" i="3"/>
  <c r="M78" i="3"/>
  <c r="L78" i="3"/>
  <c r="I78" i="3"/>
  <c r="H78" i="3"/>
  <c r="J78" i="3" s="1"/>
  <c r="G78" i="3"/>
  <c r="F78" i="3"/>
  <c r="E78" i="3"/>
  <c r="D78" i="3"/>
  <c r="Q77" i="3"/>
  <c r="P77" i="3"/>
  <c r="O77" i="3"/>
  <c r="N77" i="3"/>
  <c r="M77" i="3"/>
  <c r="L77" i="3"/>
  <c r="I77" i="3"/>
  <c r="H77" i="3"/>
  <c r="J77" i="3" s="1"/>
  <c r="G77" i="3"/>
  <c r="F77" i="3"/>
  <c r="E77" i="3"/>
  <c r="D77" i="3"/>
  <c r="Q76" i="3"/>
  <c r="P76" i="3"/>
  <c r="O76" i="3"/>
  <c r="N76" i="3"/>
  <c r="M76" i="3"/>
  <c r="L76" i="3"/>
  <c r="I76" i="3"/>
  <c r="H76" i="3"/>
  <c r="J76" i="3" s="1"/>
  <c r="G76" i="3"/>
  <c r="F76" i="3"/>
  <c r="E76" i="3"/>
  <c r="D76" i="3"/>
  <c r="Q75" i="3"/>
  <c r="P75" i="3"/>
  <c r="R75" i="3" s="1"/>
  <c r="O75" i="3"/>
  <c r="N75" i="3"/>
  <c r="M75" i="3"/>
  <c r="L75" i="3"/>
  <c r="I75" i="3"/>
  <c r="H75" i="3"/>
  <c r="G75" i="3"/>
  <c r="F75" i="3"/>
  <c r="E75" i="3"/>
  <c r="D75" i="3"/>
  <c r="Q74" i="3"/>
  <c r="P74" i="3"/>
  <c r="O74" i="3"/>
  <c r="N74" i="3"/>
  <c r="M74" i="3"/>
  <c r="L74" i="3"/>
  <c r="I74" i="3"/>
  <c r="H74" i="3"/>
  <c r="J74" i="3" s="1"/>
  <c r="G74" i="3"/>
  <c r="F74" i="3"/>
  <c r="E74" i="3"/>
  <c r="D74" i="3"/>
  <c r="Q73" i="3"/>
  <c r="P73" i="3"/>
  <c r="O73" i="3"/>
  <c r="N73" i="3"/>
  <c r="M73" i="3"/>
  <c r="L73" i="3"/>
  <c r="I73" i="3"/>
  <c r="H73" i="3"/>
  <c r="J73" i="3" s="1"/>
  <c r="G73" i="3"/>
  <c r="F73" i="3"/>
  <c r="E73" i="3"/>
  <c r="D73" i="3"/>
  <c r="Q72" i="3"/>
  <c r="P72" i="3"/>
  <c r="O72" i="3"/>
  <c r="N72" i="3"/>
  <c r="M72" i="3"/>
  <c r="L72" i="3"/>
  <c r="I72" i="3"/>
  <c r="H72" i="3"/>
  <c r="J72" i="3" s="1"/>
  <c r="G72" i="3"/>
  <c r="F72" i="3"/>
  <c r="E72" i="3"/>
  <c r="D72" i="3"/>
  <c r="Q71" i="3"/>
  <c r="P71" i="3"/>
  <c r="R71" i="3" s="1"/>
  <c r="O71" i="3"/>
  <c r="N71" i="3"/>
  <c r="M71" i="3"/>
  <c r="L71" i="3"/>
  <c r="I71" i="3"/>
  <c r="H71" i="3"/>
  <c r="G71" i="3"/>
  <c r="F71" i="3"/>
  <c r="E71" i="3"/>
  <c r="D71" i="3"/>
  <c r="Q70" i="3"/>
  <c r="P70" i="3"/>
  <c r="R70" i="3" s="1"/>
  <c r="O70" i="3"/>
  <c r="N70" i="3"/>
  <c r="M70" i="3"/>
  <c r="L70" i="3"/>
  <c r="I70" i="3"/>
  <c r="H70" i="3"/>
  <c r="J70" i="3" s="1"/>
  <c r="G70" i="3"/>
  <c r="F70" i="3"/>
  <c r="E70" i="3"/>
  <c r="D70" i="3"/>
  <c r="Q69" i="3"/>
  <c r="P69" i="3"/>
  <c r="O69" i="3"/>
  <c r="N69" i="3"/>
  <c r="M69" i="3"/>
  <c r="L69" i="3"/>
  <c r="I69" i="3"/>
  <c r="H69" i="3"/>
  <c r="J69" i="3" s="1"/>
  <c r="G69" i="3"/>
  <c r="F69" i="3"/>
  <c r="E69" i="3"/>
  <c r="D69" i="3"/>
  <c r="Q68" i="3"/>
  <c r="P68" i="3"/>
  <c r="R68" i="3" s="1"/>
  <c r="O68" i="3"/>
  <c r="N68" i="3"/>
  <c r="M68" i="3"/>
  <c r="L68" i="3"/>
  <c r="I68" i="3"/>
  <c r="H68" i="3"/>
  <c r="G68" i="3"/>
  <c r="F68" i="3"/>
  <c r="E68" i="3"/>
  <c r="D68" i="3"/>
  <c r="Q67" i="3"/>
  <c r="P67" i="3"/>
  <c r="R67" i="3" s="1"/>
  <c r="O67" i="3"/>
  <c r="N67" i="3"/>
  <c r="M67" i="3"/>
  <c r="L67" i="3"/>
  <c r="I67" i="3"/>
  <c r="H67" i="3"/>
  <c r="J67" i="3" s="1"/>
  <c r="G67" i="3"/>
  <c r="F67" i="3"/>
  <c r="E67" i="3"/>
  <c r="D67" i="3"/>
  <c r="Q66" i="3"/>
  <c r="P66" i="3"/>
  <c r="R66" i="3" s="1"/>
  <c r="O66" i="3"/>
  <c r="N66" i="3"/>
  <c r="M66" i="3"/>
  <c r="L66" i="3"/>
  <c r="I66" i="3"/>
  <c r="H66" i="3"/>
  <c r="J66" i="3" s="1"/>
  <c r="G66" i="3"/>
  <c r="F66" i="3"/>
  <c r="E66" i="3"/>
  <c r="D66" i="3"/>
  <c r="C66" i="3"/>
  <c r="Q65" i="3"/>
  <c r="P65" i="3"/>
  <c r="O65" i="3"/>
  <c r="N65" i="3"/>
  <c r="M65" i="3"/>
  <c r="L65" i="3"/>
  <c r="I65" i="3"/>
  <c r="H65" i="3"/>
  <c r="J65" i="3" s="1"/>
  <c r="G65" i="3"/>
  <c r="F65" i="3"/>
  <c r="E65" i="3"/>
  <c r="D65" i="3"/>
  <c r="C65" i="3"/>
  <c r="Q64" i="3"/>
  <c r="P64" i="3"/>
  <c r="R64" i="3" s="1"/>
  <c r="O64" i="3"/>
  <c r="N64" i="3"/>
  <c r="M64" i="3"/>
  <c r="L64" i="3"/>
  <c r="I64" i="3"/>
  <c r="H64" i="3"/>
  <c r="G64" i="3"/>
  <c r="F64" i="3"/>
  <c r="E64" i="3"/>
  <c r="D64" i="3"/>
  <c r="C64" i="3"/>
  <c r="Q63" i="3"/>
  <c r="P63" i="3"/>
  <c r="O63" i="3"/>
  <c r="N63" i="3"/>
  <c r="M63" i="3"/>
  <c r="L63" i="3"/>
  <c r="I63" i="3"/>
  <c r="H63" i="3"/>
  <c r="J63" i="3" s="1"/>
  <c r="G63" i="3"/>
  <c r="F63" i="3"/>
  <c r="E63" i="3"/>
  <c r="D63" i="3"/>
  <c r="C63" i="3"/>
  <c r="Q62" i="3"/>
  <c r="P62" i="3"/>
  <c r="R62" i="3" s="1"/>
  <c r="O62" i="3"/>
  <c r="N62" i="3"/>
  <c r="M62" i="3"/>
  <c r="L62" i="3"/>
  <c r="I62" i="3"/>
  <c r="H62" i="3"/>
  <c r="G62" i="3"/>
  <c r="F62" i="3"/>
  <c r="E62" i="3"/>
  <c r="D62" i="3"/>
  <c r="Q61" i="3"/>
  <c r="P61" i="3"/>
  <c r="O61" i="3"/>
  <c r="N61" i="3"/>
  <c r="M61" i="3"/>
  <c r="L61" i="3"/>
  <c r="I61" i="3"/>
  <c r="H61" i="3"/>
  <c r="J61" i="3" s="1"/>
  <c r="G61" i="3"/>
  <c r="F61" i="3"/>
  <c r="E61" i="3"/>
  <c r="D61" i="3"/>
  <c r="Q60" i="3"/>
  <c r="P60" i="3"/>
  <c r="R60" i="3" s="1"/>
  <c r="O60" i="3"/>
  <c r="N60" i="3"/>
  <c r="M60" i="3"/>
  <c r="L60" i="3"/>
  <c r="I60" i="3"/>
  <c r="H60" i="3"/>
  <c r="J60" i="3" s="1"/>
  <c r="G60" i="3"/>
  <c r="F60" i="3"/>
  <c r="E60" i="3"/>
  <c r="D60" i="3"/>
  <c r="Q59" i="3"/>
  <c r="P59" i="3"/>
  <c r="O59" i="3"/>
  <c r="N59" i="3"/>
  <c r="M59" i="3"/>
  <c r="L59" i="3"/>
  <c r="I59" i="3"/>
  <c r="H59" i="3"/>
  <c r="J59" i="3" s="1"/>
  <c r="G59" i="3"/>
  <c r="F59" i="3"/>
  <c r="E59" i="3"/>
  <c r="D59" i="3"/>
  <c r="Q58" i="3"/>
  <c r="P58" i="3"/>
  <c r="R58" i="3" s="1"/>
  <c r="O58" i="3"/>
  <c r="N58" i="3"/>
  <c r="M58" i="3"/>
  <c r="L58" i="3"/>
  <c r="I58" i="3"/>
  <c r="H58" i="3"/>
  <c r="J58" i="3" s="1"/>
  <c r="G58" i="3"/>
  <c r="F58" i="3"/>
  <c r="E58" i="3"/>
  <c r="D58" i="3"/>
  <c r="Q57" i="3"/>
  <c r="P57" i="3"/>
  <c r="R57" i="3" s="1"/>
  <c r="O57" i="3"/>
  <c r="N57" i="3"/>
  <c r="M57" i="3"/>
  <c r="L57" i="3"/>
  <c r="I57" i="3"/>
  <c r="H57" i="3"/>
  <c r="J57" i="3" s="1"/>
  <c r="G57" i="3"/>
  <c r="F57" i="3"/>
  <c r="E57" i="3"/>
  <c r="D57" i="3"/>
  <c r="Q56" i="3"/>
  <c r="P56" i="3"/>
  <c r="O56" i="3"/>
  <c r="N56" i="3"/>
  <c r="M56" i="3"/>
  <c r="L56" i="3"/>
  <c r="I56" i="3"/>
  <c r="H56" i="3"/>
  <c r="J56" i="3" s="1"/>
  <c r="G56" i="3"/>
  <c r="F56" i="3"/>
  <c r="E56" i="3"/>
  <c r="D56" i="3"/>
  <c r="Q55" i="3"/>
  <c r="P55" i="3"/>
  <c r="O55" i="3"/>
  <c r="N55" i="3"/>
  <c r="M55" i="3"/>
  <c r="L55" i="3"/>
  <c r="I55" i="3"/>
  <c r="H55" i="3"/>
  <c r="J55" i="3" s="1"/>
  <c r="G55" i="3"/>
  <c r="F55" i="3"/>
  <c r="E55" i="3"/>
  <c r="D55" i="3"/>
  <c r="Q54" i="3"/>
  <c r="P54" i="3"/>
  <c r="R54" i="3" s="1"/>
  <c r="O54" i="3"/>
  <c r="N54" i="3"/>
  <c r="M54" i="3"/>
  <c r="L54" i="3"/>
  <c r="I54" i="3"/>
  <c r="H54" i="3"/>
  <c r="G54" i="3"/>
  <c r="F54" i="3"/>
  <c r="E54" i="3"/>
  <c r="D54" i="3"/>
  <c r="Q53" i="3"/>
  <c r="P53" i="3"/>
  <c r="R53" i="3" s="1"/>
  <c r="O53" i="3"/>
  <c r="N53" i="3"/>
  <c r="M53" i="3"/>
  <c r="L53" i="3"/>
  <c r="I53" i="3"/>
  <c r="H53" i="3"/>
  <c r="G53" i="3"/>
  <c r="F53" i="3"/>
  <c r="E53" i="3"/>
  <c r="D53" i="3"/>
  <c r="Q52" i="3"/>
  <c r="P52" i="3"/>
  <c r="O52" i="3"/>
  <c r="N52" i="3"/>
  <c r="M52" i="3"/>
  <c r="L52" i="3"/>
  <c r="I52" i="3"/>
  <c r="H52" i="3"/>
  <c r="J52" i="3" s="1"/>
  <c r="G52" i="3"/>
  <c r="F52" i="3"/>
  <c r="E52" i="3"/>
  <c r="D52" i="3"/>
  <c r="Q51" i="3"/>
  <c r="P51" i="3"/>
  <c r="O51" i="3"/>
  <c r="N51" i="3"/>
  <c r="M51" i="3"/>
  <c r="L51" i="3"/>
  <c r="I51" i="3"/>
  <c r="H51" i="3"/>
  <c r="J51" i="3" s="1"/>
  <c r="G51" i="3"/>
  <c r="F51" i="3"/>
  <c r="E51" i="3"/>
  <c r="D51" i="3"/>
  <c r="Q50" i="3"/>
  <c r="P50" i="3"/>
  <c r="O50" i="3"/>
  <c r="N50" i="3"/>
  <c r="M50" i="3"/>
  <c r="L50" i="3"/>
  <c r="I50" i="3"/>
  <c r="H50" i="3"/>
  <c r="J50" i="3" s="1"/>
  <c r="G50" i="3"/>
  <c r="F50" i="3"/>
  <c r="E50" i="3"/>
  <c r="D50" i="3"/>
  <c r="Q49" i="3"/>
  <c r="P49" i="3"/>
  <c r="O49" i="3"/>
  <c r="N49" i="3"/>
  <c r="M49" i="3"/>
  <c r="L49" i="3"/>
  <c r="I49" i="3"/>
  <c r="H49" i="3"/>
  <c r="J49" i="3" s="1"/>
  <c r="G49" i="3"/>
  <c r="F49" i="3"/>
  <c r="E49" i="3"/>
  <c r="D49" i="3"/>
  <c r="Q48" i="3"/>
  <c r="P48" i="3"/>
  <c r="O48" i="3"/>
  <c r="N48" i="3"/>
  <c r="M48" i="3"/>
  <c r="L48" i="3"/>
  <c r="I48" i="3"/>
  <c r="H48" i="3"/>
  <c r="J48" i="3" s="1"/>
  <c r="G48" i="3"/>
  <c r="F48" i="3"/>
  <c r="E48" i="3"/>
  <c r="D48" i="3"/>
  <c r="Q47" i="3"/>
  <c r="P47" i="3"/>
  <c r="O47" i="3"/>
  <c r="N47" i="3"/>
  <c r="M47" i="3"/>
  <c r="L47" i="3"/>
  <c r="I47" i="3"/>
  <c r="H47" i="3"/>
  <c r="J47" i="3" s="1"/>
  <c r="G47" i="3"/>
  <c r="F47" i="3"/>
  <c r="E47" i="3"/>
  <c r="D47" i="3"/>
  <c r="Q46" i="3"/>
  <c r="P46" i="3"/>
  <c r="R46" i="3" s="1"/>
  <c r="O46" i="3"/>
  <c r="N46" i="3"/>
  <c r="M46" i="3"/>
  <c r="L46" i="3"/>
  <c r="I46" i="3"/>
  <c r="H46" i="3"/>
  <c r="G46" i="3"/>
  <c r="F46" i="3"/>
  <c r="E46" i="3"/>
  <c r="D46" i="3"/>
  <c r="Q45" i="3"/>
  <c r="P45" i="3"/>
  <c r="O45" i="3"/>
  <c r="N45" i="3"/>
  <c r="M45" i="3"/>
  <c r="L45" i="3"/>
  <c r="I45" i="3"/>
  <c r="H45" i="3"/>
  <c r="J45" i="3" s="1"/>
  <c r="G45" i="3"/>
  <c r="F45" i="3"/>
  <c r="E45" i="3"/>
  <c r="D45" i="3"/>
  <c r="Q44" i="3"/>
  <c r="P44" i="3"/>
  <c r="R44" i="3" s="1"/>
  <c r="O44" i="3"/>
  <c r="N44" i="3"/>
  <c r="M44" i="3"/>
  <c r="L44" i="3"/>
  <c r="I44" i="3"/>
  <c r="H44" i="3"/>
  <c r="J44" i="3" s="1"/>
  <c r="G44" i="3"/>
  <c r="F44" i="3"/>
  <c r="E44" i="3"/>
  <c r="D44" i="3"/>
  <c r="Q43" i="3"/>
  <c r="P43" i="3"/>
  <c r="R43" i="3" s="1"/>
  <c r="O43" i="3"/>
  <c r="N43" i="3"/>
  <c r="M43" i="3"/>
  <c r="L43" i="3"/>
  <c r="I43" i="3"/>
  <c r="H43" i="3"/>
  <c r="J43" i="3" s="1"/>
  <c r="G43" i="3"/>
  <c r="F43" i="3"/>
  <c r="E43" i="3"/>
  <c r="D43" i="3"/>
  <c r="Q42" i="3"/>
  <c r="P42" i="3"/>
  <c r="R42" i="3" s="1"/>
  <c r="O42" i="3"/>
  <c r="N42" i="3"/>
  <c r="M42" i="3"/>
  <c r="L42" i="3"/>
  <c r="I42" i="3"/>
  <c r="H42" i="3"/>
  <c r="G42" i="3"/>
  <c r="F42" i="3"/>
  <c r="E42" i="3"/>
  <c r="D42" i="3"/>
  <c r="Q41" i="3"/>
  <c r="P41" i="3"/>
  <c r="R41" i="3" s="1"/>
  <c r="O41" i="3"/>
  <c r="N41" i="3"/>
  <c r="M41" i="3"/>
  <c r="L41" i="3"/>
  <c r="I41" i="3"/>
  <c r="H41" i="3"/>
  <c r="J41" i="3" s="1"/>
  <c r="G41" i="3"/>
  <c r="F41" i="3"/>
  <c r="E41" i="3"/>
  <c r="D41" i="3"/>
  <c r="Q40" i="3"/>
  <c r="P40" i="3"/>
  <c r="O40" i="3"/>
  <c r="N40" i="3"/>
  <c r="M40" i="3"/>
  <c r="L40" i="3"/>
  <c r="I40" i="3"/>
  <c r="H40" i="3"/>
  <c r="J40" i="3" s="1"/>
  <c r="G40" i="3"/>
  <c r="F40" i="3"/>
  <c r="E40" i="3"/>
  <c r="D40" i="3"/>
  <c r="Q39" i="3"/>
  <c r="P39" i="3"/>
  <c r="O39" i="3"/>
  <c r="N39" i="3"/>
  <c r="M39" i="3"/>
  <c r="L39" i="3"/>
  <c r="I39" i="3"/>
  <c r="H39" i="3"/>
  <c r="J39" i="3" s="1"/>
  <c r="G39" i="3"/>
  <c r="F39" i="3"/>
  <c r="E39" i="3"/>
  <c r="D39" i="3"/>
  <c r="Q38" i="3"/>
  <c r="P38" i="3"/>
  <c r="R38" i="3" s="1"/>
  <c r="O38" i="3"/>
  <c r="N38" i="3"/>
  <c r="M38" i="3"/>
  <c r="L38" i="3"/>
  <c r="I38" i="3"/>
  <c r="H38" i="3"/>
  <c r="G38" i="3"/>
  <c r="F38" i="3"/>
  <c r="E38" i="3"/>
  <c r="D38" i="3"/>
  <c r="Q37" i="3"/>
  <c r="P37" i="3"/>
  <c r="O37" i="3"/>
  <c r="N37" i="3"/>
  <c r="M37" i="3"/>
  <c r="L37" i="3"/>
  <c r="I37" i="3"/>
  <c r="H37" i="3"/>
  <c r="J37" i="3" s="1"/>
  <c r="G37" i="3"/>
  <c r="F37" i="3"/>
  <c r="E37" i="3"/>
  <c r="D37" i="3"/>
  <c r="Q36" i="3"/>
  <c r="P36" i="3"/>
  <c r="O36" i="3"/>
  <c r="N36" i="3"/>
  <c r="M36" i="3"/>
  <c r="L36" i="3"/>
  <c r="I36" i="3"/>
  <c r="H36" i="3"/>
  <c r="J36" i="3" s="1"/>
  <c r="G36" i="3"/>
  <c r="F36" i="3"/>
  <c r="E36" i="3"/>
  <c r="D36" i="3"/>
  <c r="Q35" i="3"/>
  <c r="P35" i="3"/>
  <c r="O35" i="3"/>
  <c r="N35" i="3"/>
  <c r="M35" i="3"/>
  <c r="L35" i="3"/>
  <c r="I35" i="3"/>
  <c r="H35" i="3"/>
  <c r="J35" i="3" s="1"/>
  <c r="G35" i="3"/>
  <c r="F35" i="3"/>
  <c r="E35" i="3"/>
  <c r="D35" i="3"/>
  <c r="Q34" i="3"/>
  <c r="P34" i="3"/>
  <c r="R34" i="3" s="1"/>
  <c r="O34" i="3"/>
  <c r="N34" i="3"/>
  <c r="M34" i="3"/>
  <c r="L34" i="3"/>
  <c r="I34" i="3"/>
  <c r="H34" i="3"/>
  <c r="J34" i="3" s="1"/>
  <c r="G34" i="3"/>
  <c r="F34" i="3"/>
  <c r="E34" i="3"/>
  <c r="D34" i="3"/>
  <c r="Q33" i="3"/>
  <c r="P33" i="3"/>
  <c r="O33" i="3"/>
  <c r="N33" i="3"/>
  <c r="M33" i="3"/>
  <c r="L33" i="3"/>
  <c r="I33" i="3"/>
  <c r="H33" i="3"/>
  <c r="J33" i="3" s="1"/>
  <c r="G33" i="3"/>
  <c r="F33" i="3"/>
  <c r="E33" i="3"/>
  <c r="D33" i="3"/>
  <c r="Q32" i="3"/>
  <c r="P32" i="3"/>
  <c r="O32" i="3"/>
  <c r="N32" i="3"/>
  <c r="M32" i="3"/>
  <c r="L32" i="3"/>
  <c r="I32" i="3"/>
  <c r="H32" i="3"/>
  <c r="J32" i="3" s="1"/>
  <c r="G32" i="3"/>
  <c r="F32" i="3"/>
  <c r="E32" i="3"/>
  <c r="D32" i="3"/>
  <c r="Q31" i="3"/>
  <c r="P31" i="3"/>
  <c r="R31" i="3" s="1"/>
  <c r="O31" i="3"/>
  <c r="N31" i="3"/>
  <c r="M31" i="3"/>
  <c r="L31" i="3"/>
  <c r="I31" i="3"/>
  <c r="H31" i="3"/>
  <c r="J31" i="3" s="1"/>
  <c r="G31" i="3"/>
  <c r="F31" i="3"/>
  <c r="E31" i="3"/>
  <c r="D31" i="3"/>
  <c r="Q30" i="3"/>
  <c r="P30" i="3"/>
  <c r="R30" i="3" s="1"/>
  <c r="O30" i="3"/>
  <c r="N30" i="3"/>
  <c r="M30" i="3"/>
  <c r="L30" i="3"/>
  <c r="I30" i="3"/>
  <c r="H30" i="3"/>
  <c r="G30" i="3"/>
  <c r="F30" i="3"/>
  <c r="E30" i="3"/>
  <c r="D30" i="3"/>
  <c r="Q29" i="3"/>
  <c r="P29" i="3"/>
  <c r="R29" i="3" s="1"/>
  <c r="O29" i="3"/>
  <c r="N29" i="3"/>
  <c r="M29" i="3"/>
  <c r="L29" i="3"/>
  <c r="I29" i="3"/>
  <c r="H29" i="3"/>
  <c r="J29" i="3" s="1"/>
  <c r="G29" i="3"/>
  <c r="F29" i="3"/>
  <c r="E29" i="3"/>
  <c r="D29" i="3"/>
  <c r="Q28" i="3"/>
  <c r="P28" i="3"/>
  <c r="R28" i="3" s="1"/>
  <c r="O28" i="3"/>
  <c r="N28" i="3"/>
  <c r="M28" i="3"/>
  <c r="L28" i="3"/>
  <c r="I28" i="3"/>
  <c r="H28" i="3"/>
  <c r="G28" i="3"/>
  <c r="F28" i="3"/>
  <c r="E28" i="3"/>
  <c r="D28" i="3"/>
  <c r="Q27" i="3"/>
  <c r="P27" i="3"/>
  <c r="R27" i="3" s="1"/>
  <c r="O27" i="3"/>
  <c r="N27" i="3"/>
  <c r="M27" i="3"/>
  <c r="L27" i="3"/>
  <c r="I27" i="3"/>
  <c r="H27" i="3"/>
  <c r="J27" i="3" s="1"/>
  <c r="G27" i="3"/>
  <c r="F27" i="3"/>
  <c r="E27" i="3"/>
  <c r="D27" i="3"/>
  <c r="Q26" i="3"/>
  <c r="P26" i="3"/>
  <c r="O26" i="3"/>
  <c r="N26" i="3"/>
  <c r="M26" i="3"/>
  <c r="L26" i="3"/>
  <c r="I26" i="3"/>
  <c r="H26" i="3"/>
  <c r="J26" i="3" s="1"/>
  <c r="G26" i="3"/>
  <c r="F26" i="3"/>
  <c r="E26" i="3"/>
  <c r="D26" i="3"/>
  <c r="Q25" i="3"/>
  <c r="P25" i="3"/>
  <c r="R25" i="3" s="1"/>
  <c r="O25" i="3"/>
  <c r="N25" i="3"/>
  <c r="M25" i="3"/>
  <c r="L25" i="3"/>
  <c r="I25" i="3"/>
  <c r="H25" i="3"/>
  <c r="J25" i="3" s="1"/>
  <c r="G25" i="3"/>
  <c r="F25" i="3"/>
  <c r="E25" i="3"/>
  <c r="D25" i="3"/>
  <c r="Q24" i="3"/>
  <c r="P24" i="3"/>
  <c r="O24" i="3"/>
  <c r="N24" i="3"/>
  <c r="M24" i="3"/>
  <c r="L24" i="3"/>
  <c r="I24" i="3"/>
  <c r="H24" i="3"/>
  <c r="J24" i="3" s="1"/>
  <c r="G24" i="3"/>
  <c r="F24" i="3"/>
  <c r="E24" i="3"/>
  <c r="D24" i="3"/>
  <c r="Q23" i="3"/>
  <c r="P23" i="3"/>
  <c r="O23" i="3"/>
  <c r="N23" i="3"/>
  <c r="M23" i="3"/>
  <c r="L23" i="3"/>
  <c r="I23" i="3"/>
  <c r="H23" i="3"/>
  <c r="J23" i="3" s="1"/>
  <c r="G23" i="3"/>
  <c r="F23" i="3"/>
  <c r="E23" i="3"/>
  <c r="D23" i="3"/>
  <c r="Q22" i="3"/>
  <c r="P22" i="3"/>
  <c r="R22" i="3" s="1"/>
  <c r="O22" i="3"/>
  <c r="N22" i="3"/>
  <c r="M22" i="3"/>
  <c r="L22" i="3"/>
  <c r="I22" i="3"/>
  <c r="H22" i="3"/>
  <c r="G22" i="3"/>
  <c r="F22" i="3"/>
  <c r="E22" i="3"/>
  <c r="D22" i="3"/>
  <c r="Q21" i="3"/>
  <c r="P21" i="3"/>
  <c r="O21" i="3"/>
  <c r="N21" i="3"/>
  <c r="M21" i="3"/>
  <c r="L21" i="3"/>
  <c r="I21" i="3"/>
  <c r="H21" i="3"/>
  <c r="J21" i="3" s="1"/>
  <c r="G21" i="3"/>
  <c r="F21" i="3"/>
  <c r="E21" i="3"/>
  <c r="D21" i="3"/>
  <c r="Q20" i="3"/>
  <c r="P20" i="3"/>
  <c r="R20" i="3" s="1"/>
  <c r="O20" i="3"/>
  <c r="N20" i="3"/>
  <c r="M20" i="3"/>
  <c r="L20" i="3"/>
  <c r="I20" i="3"/>
  <c r="H20" i="3"/>
  <c r="J20" i="3" s="1"/>
  <c r="G20" i="3"/>
  <c r="F20" i="3"/>
  <c r="E20" i="3"/>
  <c r="D20" i="3"/>
  <c r="Q19" i="3"/>
  <c r="P19" i="3"/>
  <c r="O19" i="3"/>
  <c r="N19" i="3"/>
  <c r="M19" i="3"/>
  <c r="L19" i="3"/>
  <c r="I19" i="3"/>
  <c r="H19" i="3"/>
  <c r="J19" i="3" s="1"/>
  <c r="G19" i="3"/>
  <c r="F19" i="3"/>
  <c r="E19" i="3"/>
  <c r="D19" i="3"/>
  <c r="Q18" i="3"/>
  <c r="P18" i="3"/>
  <c r="R18" i="3" s="1"/>
  <c r="O18" i="3"/>
  <c r="N18" i="3"/>
  <c r="M18" i="3"/>
  <c r="L18" i="3"/>
  <c r="I18" i="3"/>
  <c r="H18" i="3"/>
  <c r="J18" i="3" s="1"/>
  <c r="G18" i="3"/>
  <c r="F18" i="3"/>
  <c r="E18" i="3"/>
  <c r="D18" i="3"/>
  <c r="Q17" i="3"/>
  <c r="P17" i="3"/>
  <c r="R17" i="3" s="1"/>
  <c r="O17" i="3"/>
  <c r="N17" i="3"/>
  <c r="M17" i="3"/>
  <c r="L17" i="3"/>
  <c r="I17" i="3"/>
  <c r="H17" i="3"/>
  <c r="J17" i="3" s="1"/>
  <c r="G17" i="3"/>
  <c r="F17" i="3"/>
  <c r="E17" i="3"/>
  <c r="D17" i="3"/>
  <c r="Q16" i="3"/>
  <c r="P16" i="3"/>
  <c r="O16" i="3"/>
  <c r="N16" i="3"/>
  <c r="M16" i="3"/>
  <c r="L16" i="3"/>
  <c r="I16" i="3"/>
  <c r="H16" i="3"/>
  <c r="J16" i="3" s="1"/>
  <c r="G16" i="3"/>
  <c r="F16" i="3"/>
  <c r="E16" i="3"/>
  <c r="D16" i="3"/>
  <c r="Q15" i="3"/>
  <c r="P15" i="3"/>
  <c r="R15" i="3" s="1"/>
  <c r="O15" i="3"/>
  <c r="N15" i="3"/>
  <c r="M15" i="3"/>
  <c r="L15" i="3"/>
  <c r="I15" i="3"/>
  <c r="H15" i="3"/>
  <c r="G15" i="3"/>
  <c r="F15" i="3"/>
  <c r="E15" i="3"/>
  <c r="D15" i="3"/>
  <c r="Q14" i="3"/>
  <c r="P14" i="3"/>
  <c r="O14" i="3"/>
  <c r="N14" i="3"/>
  <c r="M14" i="3"/>
  <c r="L14" i="3"/>
  <c r="I14" i="3"/>
  <c r="H14" i="3"/>
  <c r="J14" i="3" s="1"/>
  <c r="G14" i="3"/>
  <c r="F14" i="3"/>
  <c r="E14" i="3"/>
  <c r="D14" i="3"/>
  <c r="Q13" i="3"/>
  <c r="P13" i="3"/>
  <c r="R13" i="3" s="1"/>
  <c r="O13" i="3"/>
  <c r="N13" i="3"/>
  <c r="M13" i="3"/>
  <c r="L13" i="3"/>
  <c r="I13" i="3"/>
  <c r="H13" i="3"/>
  <c r="J13" i="3" s="1"/>
  <c r="G13" i="3"/>
  <c r="F13" i="3"/>
  <c r="E13" i="3"/>
  <c r="D13" i="3"/>
  <c r="Q12" i="3"/>
  <c r="P12" i="3"/>
  <c r="O12" i="3"/>
  <c r="N12" i="3"/>
  <c r="M12" i="3"/>
  <c r="L12" i="3"/>
  <c r="I12" i="3"/>
  <c r="H12" i="3"/>
  <c r="J12" i="3" s="1"/>
  <c r="G12" i="3"/>
  <c r="F12" i="3"/>
  <c r="E12" i="3"/>
  <c r="D12" i="3"/>
  <c r="Q11" i="3"/>
  <c r="P11" i="3"/>
  <c r="R11" i="3" s="1"/>
  <c r="O11" i="3"/>
  <c r="N11" i="3"/>
  <c r="M11" i="3"/>
  <c r="L11" i="3"/>
  <c r="I11" i="3"/>
  <c r="H11" i="3"/>
  <c r="J11" i="3" s="1"/>
  <c r="G11" i="3"/>
  <c r="F11" i="3"/>
  <c r="E11" i="3"/>
  <c r="D11" i="3"/>
  <c r="Q10" i="3"/>
  <c r="P10" i="3"/>
  <c r="O10" i="3"/>
  <c r="N10" i="3"/>
  <c r="M10" i="3"/>
  <c r="L10" i="3"/>
  <c r="I10" i="3"/>
  <c r="H10" i="3"/>
  <c r="J10" i="3" s="1"/>
  <c r="G10" i="3"/>
  <c r="F10" i="3"/>
  <c r="E10" i="3"/>
  <c r="D10" i="3"/>
  <c r="Q9" i="3"/>
  <c r="P9" i="3"/>
  <c r="R9" i="3" s="1"/>
  <c r="O9" i="3"/>
  <c r="N9" i="3"/>
  <c r="M9" i="3"/>
  <c r="L9" i="3"/>
  <c r="I9" i="3"/>
  <c r="H9" i="3"/>
  <c r="G9" i="3"/>
  <c r="F9" i="3"/>
  <c r="E9" i="3"/>
  <c r="D9" i="3"/>
  <c r="Q8" i="3"/>
  <c r="P8" i="3"/>
  <c r="O8" i="3"/>
  <c r="N8" i="3"/>
  <c r="M8" i="3"/>
  <c r="L8" i="3"/>
  <c r="I8" i="3"/>
  <c r="H8" i="3"/>
  <c r="J8" i="3" s="1"/>
  <c r="G8" i="3"/>
  <c r="F8" i="3"/>
  <c r="E8" i="3"/>
  <c r="D8" i="3"/>
  <c r="Q7" i="3"/>
  <c r="P7" i="3"/>
  <c r="O7" i="3"/>
  <c r="N7" i="3"/>
  <c r="M7" i="3"/>
  <c r="L7" i="3"/>
  <c r="I7" i="3"/>
  <c r="H7" i="3"/>
  <c r="J7" i="3" s="1"/>
  <c r="G7" i="3"/>
  <c r="F7" i="3"/>
  <c r="E7" i="3"/>
  <c r="D7" i="3"/>
  <c r="Q6" i="3"/>
  <c r="P6" i="3"/>
  <c r="R6" i="3" s="1"/>
  <c r="O6" i="3"/>
  <c r="N6" i="3"/>
  <c r="M6" i="3"/>
  <c r="L6" i="3"/>
  <c r="I6" i="3"/>
  <c r="H6" i="3"/>
  <c r="G6" i="3"/>
  <c r="F6" i="3"/>
  <c r="E6" i="3"/>
  <c r="D6" i="3"/>
  <c r="Q5" i="3"/>
  <c r="P5" i="3"/>
  <c r="O5" i="3"/>
  <c r="N5" i="3"/>
  <c r="M5" i="3"/>
  <c r="L5" i="3"/>
  <c r="I5" i="3"/>
  <c r="H5" i="3"/>
  <c r="J5" i="3" s="1"/>
  <c r="G5" i="3"/>
  <c r="F5" i="3"/>
  <c r="E5" i="3"/>
  <c r="D5" i="3"/>
  <c r="Q4" i="3"/>
  <c r="P4" i="3"/>
  <c r="O4" i="3"/>
  <c r="N4" i="3"/>
  <c r="M4" i="3"/>
  <c r="L4" i="3"/>
  <c r="I4" i="3"/>
  <c r="H4" i="3"/>
  <c r="J4" i="3" s="1"/>
  <c r="G4" i="3"/>
  <c r="F4" i="3"/>
  <c r="E4" i="3"/>
  <c r="D4" i="3"/>
  <c r="Q3" i="3"/>
  <c r="P3" i="3"/>
  <c r="O3" i="3"/>
  <c r="N3" i="3"/>
  <c r="M3" i="3"/>
  <c r="L3" i="3"/>
  <c r="I3" i="3"/>
  <c r="H3" i="3"/>
  <c r="J3" i="3" s="1"/>
  <c r="G3" i="3"/>
  <c r="F3" i="3"/>
  <c r="E3" i="3"/>
  <c r="D3" i="3"/>
  <c r="AD8" i="2"/>
  <c r="AB5" i="2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B4" i="2"/>
  <c r="AC3" i="2"/>
  <c r="AC4" i="2" s="1"/>
  <c r="B48" i="1"/>
  <c r="B47" i="1"/>
  <c r="B45" i="1"/>
  <c r="B44" i="1"/>
  <c r="B43" i="1"/>
  <c r="B42" i="1"/>
  <c r="B41" i="1"/>
  <c r="E39" i="1"/>
  <c r="B36" i="1"/>
  <c r="B35" i="1"/>
  <c r="B33" i="1"/>
  <c r="B32" i="1"/>
  <c r="B31" i="1"/>
  <c r="B30" i="1"/>
  <c r="B29" i="1"/>
  <c r="E27" i="1"/>
  <c r="B24" i="1"/>
  <c r="B23" i="1"/>
  <c r="B21" i="1"/>
  <c r="B20" i="1"/>
  <c r="B19" i="1"/>
  <c r="B18" i="1"/>
  <c r="B17" i="1"/>
  <c r="E15" i="1"/>
  <c r="E3" i="1"/>
  <c r="Z3" i="3"/>
  <c r="AA43" i="6"/>
  <c r="AA103" i="4"/>
  <c r="Z63" i="3"/>
  <c r="W91" i="6"/>
  <c r="AA91" i="5"/>
  <c r="X55" i="6"/>
  <c r="X27" i="6"/>
  <c r="X59" i="4"/>
  <c r="X91" i="5"/>
  <c r="Y55" i="4"/>
  <c r="W3" i="4"/>
  <c r="AA43" i="5"/>
  <c r="Z59" i="6"/>
  <c r="W71" i="5"/>
  <c r="W71" i="6"/>
  <c r="AA71" i="4"/>
  <c r="X47" i="5"/>
  <c r="W95" i="4"/>
  <c r="Y71" i="5"/>
  <c r="V59" i="6"/>
  <c r="AA63" i="6"/>
  <c r="W7" i="4"/>
  <c r="Y103" i="5"/>
  <c r="Z91" i="6"/>
  <c r="AA79" i="6"/>
  <c r="X75" i="6"/>
  <c r="Y103" i="4"/>
  <c r="W99" i="5"/>
  <c r="W71" i="3"/>
  <c r="AA95" i="5"/>
  <c r="Y67" i="4"/>
  <c r="W67" i="5"/>
  <c r="W95" i="3"/>
  <c r="Z31" i="6"/>
  <c r="Z3" i="4"/>
  <c r="AA47" i="6"/>
  <c r="V71" i="6"/>
  <c r="Z79" i="5"/>
  <c r="AA15" i="4"/>
  <c r="X19" i="4"/>
  <c r="V91" i="5"/>
  <c r="Z51" i="4"/>
  <c r="Z31" i="4"/>
  <c r="X91" i="3"/>
  <c r="V67" i="3"/>
  <c r="V67" i="4"/>
  <c r="V31" i="5"/>
  <c r="V95" i="3"/>
  <c r="W15" i="4"/>
  <c r="AA91" i="3"/>
  <c r="AA39" i="4"/>
  <c r="X83" i="3"/>
  <c r="AA87" i="3"/>
  <c r="AA79" i="3"/>
  <c r="Y55" i="3"/>
  <c r="X51" i="3"/>
  <c r="X47" i="3"/>
  <c r="W39" i="3"/>
  <c r="W35" i="3"/>
  <c r="W31" i="3"/>
  <c r="Z23" i="3"/>
  <c r="Z19" i="3"/>
  <c r="Y15" i="3"/>
  <c r="W7" i="3"/>
  <c r="W99" i="6"/>
  <c r="AA51" i="4"/>
  <c r="X11" i="4"/>
  <c r="W27" i="5"/>
  <c r="Y27" i="5"/>
  <c r="W47" i="5"/>
  <c r="Y71" i="4"/>
  <c r="V35" i="6"/>
  <c r="V99" i="6"/>
  <c r="AA43" i="4"/>
  <c r="W75" i="4"/>
  <c r="AA91" i="4"/>
  <c r="V27" i="5"/>
  <c r="X79" i="6"/>
  <c r="W103" i="6"/>
  <c r="AA103" i="3"/>
  <c r="X99" i="6"/>
  <c r="Z95" i="3"/>
  <c r="Y87" i="5"/>
  <c r="V103" i="6"/>
  <c r="AA35" i="4"/>
  <c r="Y99" i="3"/>
  <c r="X43" i="6"/>
  <c r="W63" i="4"/>
  <c r="V87" i="5"/>
  <c r="Z59" i="4"/>
  <c r="AA71" i="6"/>
  <c r="AA51" i="6"/>
  <c r="V87" i="3"/>
  <c r="W79" i="3"/>
  <c r="AA51" i="3"/>
  <c r="AA39" i="3"/>
  <c r="Z31" i="3"/>
  <c r="X19" i="3"/>
  <c r="X7" i="3"/>
  <c r="Y75" i="4"/>
  <c r="X83" i="5"/>
  <c r="Z75" i="6"/>
  <c r="X63" i="6"/>
  <c r="V23" i="4"/>
  <c r="W51" i="3"/>
  <c r="AA19" i="3"/>
  <c r="V3" i="3"/>
  <c r="X79" i="5"/>
  <c r="Y3" i="4"/>
  <c r="AA91" i="6"/>
  <c r="AA67" i="5"/>
  <c r="Y55" i="5"/>
  <c r="Y67" i="5"/>
  <c r="V67" i="5"/>
  <c r="Y43" i="4"/>
  <c r="W95" i="5"/>
  <c r="W99" i="3"/>
  <c r="Y31" i="5"/>
  <c r="X39" i="6"/>
  <c r="Y95" i="4"/>
  <c r="Y35" i="6"/>
  <c r="V99" i="4"/>
  <c r="X31" i="5"/>
  <c r="X59" i="5"/>
  <c r="X95" i="5"/>
  <c r="W35" i="4"/>
  <c r="AA47" i="5"/>
  <c r="Y83" i="6"/>
  <c r="Y79" i="6"/>
  <c r="V55" i="5"/>
  <c r="Z83" i="3"/>
  <c r="X55" i="3"/>
  <c r="V47" i="3"/>
  <c r="Y35" i="3"/>
  <c r="V23" i="3"/>
  <c r="Y11" i="3"/>
  <c r="Y47" i="6"/>
  <c r="X103" i="5"/>
  <c r="X95" i="3"/>
  <c r="X83" i="6"/>
  <c r="X71" i="6"/>
  <c r="AA55" i="6"/>
  <c r="AA47" i="3"/>
  <c r="V15" i="3"/>
  <c r="AA3" i="3"/>
  <c r="Y99" i="5"/>
  <c r="Y79" i="5"/>
  <c r="W91" i="4"/>
  <c r="Y59" i="5"/>
  <c r="AA35" i="6"/>
  <c r="Z75" i="4"/>
  <c r="W31" i="4"/>
  <c r="AA75" i="3"/>
  <c r="Y67" i="6"/>
  <c r="Y39" i="6"/>
  <c r="Y19" i="4"/>
  <c r="Y75" i="5"/>
  <c r="Z79" i="6"/>
  <c r="Y71" i="3"/>
  <c r="Y95" i="6"/>
  <c r="V39" i="5"/>
  <c r="X71" i="4"/>
  <c r="AA31" i="4"/>
  <c r="X15" i="4"/>
  <c r="V7" i="4"/>
  <c r="AA63" i="3"/>
  <c r="V35" i="4"/>
  <c r="Z35" i="6"/>
  <c r="X99" i="3"/>
  <c r="Z87" i="5"/>
  <c r="AA27" i="4"/>
  <c r="V75" i="3"/>
  <c r="Z51" i="5"/>
  <c r="Z7" i="4"/>
  <c r="AA11" i="4"/>
  <c r="Y103" i="3"/>
  <c r="V71" i="3"/>
  <c r="V35" i="5"/>
  <c r="Z39" i="4"/>
  <c r="V31" i="6"/>
  <c r="Z39" i="5"/>
  <c r="X95" i="6"/>
  <c r="Y31" i="4"/>
  <c r="X67" i="6"/>
  <c r="V63" i="3"/>
  <c r="AA67" i="3"/>
  <c r="Z91" i="5"/>
  <c r="W31" i="5"/>
  <c r="W103" i="3"/>
  <c r="V71" i="4"/>
  <c r="Z99" i="5"/>
  <c r="Z95" i="5"/>
  <c r="AA63" i="5"/>
  <c r="Z47" i="6"/>
  <c r="Y55" i="6"/>
  <c r="W71" i="4"/>
  <c r="Y83" i="3"/>
  <c r="W87" i="3"/>
  <c r="Y59" i="3"/>
  <c r="W55" i="3"/>
  <c r="Y51" i="3"/>
  <c r="V43" i="3"/>
  <c r="V39" i="3"/>
  <c r="Z35" i="3"/>
  <c r="Z27" i="3"/>
  <c r="W23" i="3"/>
  <c r="W19" i="3"/>
  <c r="V11" i="3"/>
  <c r="V7" i="3"/>
  <c r="X39" i="4"/>
  <c r="W91" i="3"/>
  <c r="V95" i="4"/>
  <c r="V15" i="4"/>
  <c r="V63" i="4"/>
  <c r="X87" i="6"/>
  <c r="Z63" i="4"/>
  <c r="Z87" i="3"/>
  <c r="X59" i="3"/>
  <c r="V51" i="3"/>
  <c r="X39" i="3"/>
  <c r="X27" i="3"/>
  <c r="AA15" i="3"/>
  <c r="AA7" i="3"/>
  <c r="Y43" i="5"/>
  <c r="V51" i="5"/>
  <c r="AA39" i="5"/>
  <c r="Z39" i="6"/>
  <c r="AA59" i="5"/>
  <c r="X51" i="5"/>
  <c r="V91" i="4"/>
  <c r="W23" i="4"/>
  <c r="W63" i="5"/>
  <c r="W55" i="6"/>
  <c r="AA35" i="5"/>
  <c r="V43" i="6"/>
  <c r="Z27" i="5"/>
  <c r="V55" i="6"/>
  <c r="AA59" i="6"/>
  <c r="Y47" i="5"/>
  <c r="Y87" i="6"/>
  <c r="AA75" i="5"/>
  <c r="V95" i="6"/>
  <c r="V83" i="6"/>
  <c r="V75" i="6"/>
  <c r="AA55" i="4"/>
  <c r="X67" i="4"/>
  <c r="Z15" i="4"/>
  <c r="W67" i="4"/>
  <c r="AA3" i="4"/>
  <c r="Y67" i="3"/>
  <c r="W99" i="4"/>
  <c r="Z83" i="6"/>
  <c r="Z11" i="4"/>
  <c r="W59" i="4"/>
  <c r="Y35" i="4"/>
  <c r="AA67" i="4"/>
  <c r="W59" i="5"/>
  <c r="AA83" i="6"/>
  <c r="Z71" i="4"/>
  <c r="X91" i="6"/>
  <c r="V31" i="4"/>
  <c r="Z51" i="6"/>
  <c r="AA71" i="3"/>
  <c r="V87" i="6"/>
  <c r="AA75" i="6"/>
  <c r="V103" i="4"/>
  <c r="X103" i="4"/>
  <c r="Z27" i="6"/>
  <c r="AA83" i="3"/>
  <c r="V55" i="3"/>
  <c r="AA43" i="3"/>
  <c r="X35" i="3"/>
  <c r="X23" i="3"/>
  <c r="Z11" i="3"/>
  <c r="AA19" i="4"/>
  <c r="X55" i="5"/>
  <c r="V71" i="5"/>
  <c r="X7" i="4"/>
  <c r="Z67" i="3"/>
  <c r="Y15" i="4"/>
  <c r="V35" i="3"/>
  <c r="Y31" i="6"/>
  <c r="V3" i="4"/>
  <c r="X71" i="5"/>
  <c r="AA87" i="5"/>
  <c r="Z67" i="5"/>
  <c r="Z71" i="5"/>
  <c r="Y39" i="5"/>
  <c r="Y91" i="4"/>
  <c r="V79" i="6"/>
  <c r="W51" i="6"/>
  <c r="W35" i="5"/>
  <c r="W47" i="6"/>
  <c r="Z47" i="5"/>
  <c r="W75" i="5"/>
  <c r="AA75" i="4"/>
  <c r="W79" i="6"/>
  <c r="W47" i="4"/>
  <c r="X27" i="5"/>
  <c r="Y91" i="5"/>
  <c r="X103" i="3"/>
  <c r="Y59" i="4"/>
  <c r="Z103" i="4"/>
  <c r="V27" i="6"/>
  <c r="Z67" i="6"/>
  <c r="V59" i="5"/>
  <c r="AA63" i="4"/>
  <c r="AA47" i="4"/>
  <c r="W87" i="6"/>
  <c r="V103" i="3"/>
  <c r="AA99" i="6"/>
  <c r="V27" i="4"/>
  <c r="Z75" i="5"/>
  <c r="Y27" i="4"/>
  <c r="V63" i="6"/>
  <c r="W87" i="5"/>
  <c r="W103" i="5"/>
  <c r="Z95" i="4"/>
  <c r="X3" i="4"/>
  <c r="V103" i="5"/>
  <c r="W75" i="6"/>
  <c r="AA67" i="6"/>
  <c r="Y103" i="6"/>
  <c r="AA103" i="5"/>
  <c r="Z99" i="3"/>
  <c r="Z43" i="4"/>
  <c r="V39" i="6"/>
  <c r="X63" i="3"/>
  <c r="X95" i="4"/>
  <c r="W103" i="4"/>
  <c r="Z91" i="4"/>
  <c r="Y63" i="5"/>
  <c r="Y99" i="4"/>
  <c r="W83" i="3"/>
  <c r="V79" i="3"/>
  <c r="W59" i="3"/>
  <c r="Z55" i="3"/>
  <c r="Y47" i="3"/>
  <c r="X43" i="3"/>
  <c r="Z39" i="3"/>
  <c r="Y31" i="3"/>
  <c r="AA27" i="3"/>
  <c r="AA23" i="3"/>
  <c r="Z15" i="3"/>
  <c r="X11" i="3"/>
  <c r="Y7" i="3"/>
  <c r="Y23" i="4"/>
  <c r="Y87" i="3"/>
  <c r="Z51" i="3"/>
  <c r="AA35" i="3"/>
  <c r="X15" i="3"/>
  <c r="X99" i="4"/>
  <c r="Y79" i="3"/>
  <c r="X3" i="3"/>
  <c r="Z87" i="6"/>
  <c r="V75" i="5"/>
  <c r="Y63" i="6"/>
  <c r="AA23" i="4"/>
  <c r="X67" i="5"/>
  <c r="Y75" i="3"/>
  <c r="Z55" i="5"/>
  <c r="Z67" i="4"/>
  <c r="X47" i="6"/>
  <c r="AA7" i="4"/>
  <c r="Y51" i="6"/>
  <c r="V91" i="3"/>
  <c r="X39" i="5"/>
  <c r="Z103" i="3"/>
  <c r="Z35" i="4"/>
  <c r="Y83" i="5"/>
  <c r="AA79" i="5"/>
  <c r="W91" i="5"/>
  <c r="X51" i="6"/>
  <c r="Z35" i="5"/>
  <c r="AA55" i="5"/>
  <c r="AA83" i="5"/>
  <c r="AA31" i="5"/>
  <c r="Z99" i="6"/>
  <c r="AA27" i="6"/>
  <c r="W95" i="6"/>
  <c r="X35" i="4"/>
  <c r="W31" i="6"/>
  <c r="W67" i="3"/>
  <c r="AA95" i="6"/>
  <c r="W39" i="6"/>
  <c r="V43" i="5"/>
  <c r="AA51" i="5"/>
  <c r="X23" i="4"/>
  <c r="W63" i="6"/>
  <c r="Y95" i="5"/>
  <c r="AA99" i="3"/>
  <c r="V99" i="3"/>
  <c r="X75" i="4"/>
  <c r="AA39" i="6"/>
  <c r="V99" i="5"/>
  <c r="X63" i="4"/>
  <c r="X103" i="6"/>
  <c r="X87" i="5"/>
  <c r="Y47" i="4"/>
  <c r="W11" i="4"/>
  <c r="V91" i="6"/>
  <c r="Z71" i="3"/>
  <c r="Z19" i="4"/>
  <c r="X71" i="3"/>
  <c r="X43" i="5"/>
  <c r="X35" i="5"/>
  <c r="V83" i="3"/>
  <c r="Z79" i="3"/>
  <c r="V59" i="3"/>
  <c r="AA55" i="3"/>
  <c r="Z47" i="3"/>
  <c r="W43" i="3"/>
  <c r="Y39" i="3"/>
  <c r="AA31" i="3"/>
  <c r="Y27" i="3"/>
  <c r="Y19" i="3"/>
  <c r="W15" i="3"/>
  <c r="W11" i="3"/>
  <c r="AA95" i="4"/>
  <c r="W55" i="5"/>
  <c r="Z59" i="3"/>
  <c r="W47" i="3"/>
  <c r="V31" i="3"/>
  <c r="W27" i="3"/>
  <c r="AA11" i="3"/>
  <c r="W35" i="6"/>
  <c r="AA95" i="3"/>
  <c r="Y95" i="3"/>
  <c r="Z71" i="6"/>
  <c r="W63" i="3"/>
  <c r="X63" i="5"/>
  <c r="Z43" i="5"/>
  <c r="Z95" i="6"/>
  <c r="W51" i="5"/>
  <c r="X75" i="3"/>
  <c r="AA59" i="3"/>
  <c r="Y23" i="3"/>
  <c r="W3" i="3"/>
  <c r="Z59" i="5"/>
  <c r="W79" i="5"/>
  <c r="Y63" i="4"/>
  <c r="V47" i="5"/>
  <c r="V19" i="4"/>
  <c r="Z55" i="6"/>
  <c r="X43" i="4"/>
  <c r="AA99" i="5"/>
  <c r="Y11" i="4"/>
  <c r="Y71" i="6"/>
  <c r="X59" i="6"/>
  <c r="W27" i="6"/>
  <c r="AA103" i="6"/>
  <c r="V11" i="4"/>
  <c r="AA71" i="5"/>
  <c r="AA59" i="4"/>
  <c r="Z43" i="6"/>
  <c r="W67" i="6"/>
  <c r="Z103" i="6"/>
  <c r="X31" i="4"/>
  <c r="Y91" i="6"/>
  <c r="Y43" i="6"/>
  <c r="Z83" i="5"/>
  <c r="AA99" i="4"/>
  <c r="V47" i="6"/>
  <c r="V95" i="5"/>
  <c r="V63" i="5"/>
  <c r="Z47" i="4"/>
  <c r="W59" i="6"/>
  <c r="V51" i="6"/>
  <c r="Y99" i="6"/>
  <c r="Y39" i="4"/>
  <c r="X91" i="4"/>
  <c r="V79" i="5"/>
  <c r="Y7" i="4"/>
  <c r="X31" i="6"/>
  <c r="Z63" i="5"/>
  <c r="W39" i="5"/>
  <c r="Z75" i="3"/>
  <c r="AA87" i="6"/>
  <c r="W75" i="3"/>
  <c r="W43" i="6"/>
  <c r="Y59" i="6"/>
  <c r="X99" i="5"/>
  <c r="Y51" i="4"/>
  <c r="Y35" i="5"/>
  <c r="W27" i="4"/>
  <c r="V75" i="4"/>
  <c r="W19" i="4"/>
  <c r="X79" i="3"/>
  <c r="Z43" i="3"/>
  <c r="V19" i="3"/>
  <c r="Z103" i="5"/>
  <c r="Y75" i="6"/>
  <c r="W83" i="5"/>
  <c r="Z91" i="3"/>
  <c r="Y91" i="3"/>
  <c r="AA31" i="6"/>
  <c r="Y51" i="5"/>
  <c r="X87" i="3"/>
  <c r="X31" i="3"/>
  <c r="Y3" i="3"/>
  <c r="X27" i="4"/>
  <c r="Y27" i="6"/>
  <c r="W83" i="6"/>
  <c r="Z55" i="4"/>
  <c r="AA27" i="5"/>
  <c r="Y63" i="3"/>
  <c r="Z99" i="4"/>
  <c r="X67" i="3"/>
  <c r="V83" i="5"/>
  <c r="W43" i="5"/>
  <c r="Z27" i="4"/>
  <c r="V67" i="6"/>
  <c r="Z31" i="5"/>
  <c r="X75" i="5"/>
  <c r="X35" i="6"/>
  <c r="Z23" i="4"/>
  <c r="Z63" i="6"/>
  <c r="Y43" i="3"/>
  <c r="Z7" i="3"/>
  <c r="W43" i="4"/>
  <c r="W39" i="4"/>
  <c r="T55" i="4" l="1"/>
  <c r="S28" i="3"/>
  <c r="T50" i="3"/>
  <c r="T54" i="3"/>
  <c r="T89" i="3"/>
  <c r="T92" i="3"/>
  <c r="S78" i="5"/>
  <c r="T27" i="4"/>
  <c r="T31" i="4"/>
  <c r="Q110" i="5"/>
  <c r="S55" i="5"/>
  <c r="T22" i="3"/>
  <c r="T26" i="3"/>
  <c r="T29" i="3"/>
  <c r="T60" i="5"/>
  <c r="T61" i="5"/>
  <c r="T62" i="5"/>
  <c r="T81" i="6"/>
  <c r="S64" i="3"/>
  <c r="T37" i="6"/>
  <c r="T40" i="6"/>
  <c r="T67" i="4"/>
  <c r="T68" i="4"/>
  <c r="T54" i="6"/>
  <c r="T56" i="6"/>
  <c r="T58" i="6"/>
  <c r="T59" i="6"/>
  <c r="AC5" i="2"/>
  <c r="T87" i="3"/>
  <c r="S88" i="3"/>
  <c r="T71" i="6"/>
  <c r="T75" i="6"/>
  <c r="T76" i="6"/>
  <c r="T61" i="3"/>
  <c r="S6" i="3"/>
  <c r="T72" i="4"/>
  <c r="T76" i="4"/>
  <c r="T77" i="4"/>
  <c r="T82" i="5"/>
  <c r="T84" i="6"/>
  <c r="T89" i="6"/>
  <c r="T95" i="6"/>
  <c r="T97" i="6"/>
  <c r="T64" i="5"/>
  <c r="T86" i="3"/>
  <c r="T50" i="4"/>
  <c r="T51" i="4"/>
  <c r="T64" i="3"/>
  <c r="T59" i="4"/>
  <c r="S63" i="4"/>
  <c r="R55" i="5"/>
  <c r="T95" i="3"/>
  <c r="T100" i="3"/>
  <c r="T104" i="3"/>
  <c r="T106" i="3"/>
  <c r="T6" i="4"/>
  <c r="T7" i="4"/>
  <c r="Q109" i="4"/>
  <c r="S64" i="4"/>
  <c r="T98" i="4"/>
  <c r="T101" i="4"/>
  <c r="T103" i="4"/>
  <c r="T106" i="4"/>
  <c r="T68" i="5"/>
  <c r="T70" i="5"/>
  <c r="T71" i="5"/>
  <c r="T74" i="5"/>
  <c r="T103" i="6"/>
  <c r="T105" i="6"/>
  <c r="T6" i="3"/>
  <c r="T38" i="3"/>
  <c r="T33" i="5"/>
  <c r="T35" i="5"/>
  <c r="T89" i="5"/>
  <c r="T94" i="5"/>
  <c r="S96" i="5"/>
  <c r="T70" i="3"/>
  <c r="T11" i="4"/>
  <c r="T44" i="5"/>
  <c r="Q111" i="5"/>
  <c r="T40" i="3"/>
  <c r="T11" i="3"/>
  <c r="T16" i="4"/>
  <c r="S17" i="4"/>
  <c r="T50" i="5"/>
  <c r="T54" i="5"/>
  <c r="T103" i="5"/>
  <c r="T67" i="6"/>
  <c r="T68" i="6"/>
  <c r="T9" i="3"/>
  <c r="T69" i="3"/>
  <c r="T46" i="3"/>
  <c r="S54" i="3"/>
  <c r="T19" i="4"/>
  <c r="T21" i="4"/>
  <c r="T23" i="4"/>
  <c r="T24" i="4"/>
  <c r="T106" i="5"/>
  <c r="T32" i="6"/>
  <c r="T18" i="3"/>
  <c r="T56" i="3"/>
  <c r="T80" i="3"/>
  <c r="T35" i="4"/>
  <c r="T39" i="4"/>
  <c r="T40" i="4"/>
  <c r="T41" i="4"/>
  <c r="T42" i="4"/>
  <c r="T70" i="4"/>
  <c r="T42" i="6"/>
  <c r="T43" i="6"/>
  <c r="T83" i="3"/>
  <c r="J6" i="3"/>
  <c r="S29" i="3"/>
  <c r="T4" i="3"/>
  <c r="J88" i="3"/>
  <c r="S40" i="6"/>
  <c r="S66" i="3"/>
  <c r="T38" i="6"/>
  <c r="S41" i="6"/>
  <c r="T78" i="6"/>
  <c r="T79" i="6"/>
  <c r="T8" i="4"/>
  <c r="S9" i="4"/>
  <c r="T65" i="5"/>
  <c r="T27" i="3"/>
  <c r="T74" i="3"/>
  <c r="S76" i="3"/>
  <c r="S87" i="5"/>
  <c r="S88" i="5"/>
  <c r="T86" i="5"/>
  <c r="T87" i="5"/>
  <c r="T88" i="5"/>
  <c r="S33" i="3"/>
  <c r="S79" i="6"/>
  <c r="S60" i="6"/>
  <c r="S43" i="4"/>
  <c r="S58" i="5"/>
  <c r="S85" i="6"/>
  <c r="S87" i="6"/>
  <c r="T86" i="6"/>
  <c r="T87" i="6"/>
  <c r="S90" i="6"/>
  <c r="S29" i="6"/>
  <c r="S30" i="6"/>
  <c r="S104" i="3"/>
  <c r="T105" i="5"/>
  <c r="T29" i="6"/>
  <c r="T30" i="6"/>
  <c r="T36" i="6"/>
  <c r="T59" i="3"/>
  <c r="S72" i="3"/>
  <c r="T25" i="4"/>
  <c r="T26" i="4"/>
  <c r="S37" i="4"/>
  <c r="T60" i="3"/>
  <c r="T96" i="3"/>
  <c r="T43" i="4"/>
  <c r="T66" i="4"/>
  <c r="S29" i="5"/>
  <c r="J17" i="4"/>
  <c r="J108" i="4" s="1"/>
  <c r="S56" i="4"/>
  <c r="S51" i="5"/>
  <c r="S52" i="5"/>
  <c r="J96" i="5"/>
  <c r="S83" i="3"/>
  <c r="S54" i="4"/>
  <c r="T56" i="4"/>
  <c r="S71" i="4"/>
  <c r="S47" i="5"/>
  <c r="T48" i="5"/>
  <c r="S91" i="5"/>
  <c r="S93" i="5"/>
  <c r="S93" i="6"/>
  <c r="T14" i="3"/>
  <c r="T69" i="6"/>
  <c r="T93" i="6"/>
  <c r="T94" i="6"/>
  <c r="S95" i="6"/>
  <c r="T60" i="4"/>
  <c r="T61" i="4"/>
  <c r="S95" i="5"/>
  <c r="T70" i="6"/>
  <c r="S71" i="6"/>
  <c r="T20" i="3"/>
  <c r="S52" i="3"/>
  <c r="S89" i="3"/>
  <c r="T95" i="4"/>
  <c r="S98" i="4"/>
  <c r="S99" i="4"/>
  <c r="S102" i="4"/>
  <c r="S104" i="4"/>
  <c r="T95" i="5"/>
  <c r="S56" i="6"/>
  <c r="S72" i="6"/>
  <c r="S73" i="6"/>
  <c r="T51" i="3"/>
  <c r="T53" i="3"/>
  <c r="T91" i="3"/>
  <c r="T93" i="3"/>
  <c r="S94" i="3"/>
  <c r="T17" i="4"/>
  <c r="T102" i="4"/>
  <c r="T55" i="6"/>
  <c r="T72" i="6"/>
  <c r="S74" i="6"/>
  <c r="S25" i="4"/>
  <c r="S28" i="4"/>
  <c r="S59" i="6"/>
  <c r="S33" i="6"/>
  <c r="S36" i="4"/>
  <c r="J64" i="4"/>
  <c r="S83" i="5"/>
  <c r="T104" i="5"/>
  <c r="T33" i="3"/>
  <c r="T34" i="3"/>
  <c r="S35" i="3"/>
  <c r="T65" i="3"/>
  <c r="S81" i="3"/>
  <c r="T94" i="3"/>
  <c r="T36" i="4"/>
  <c r="S60" i="4"/>
  <c r="S61" i="4"/>
  <c r="S106" i="4"/>
  <c r="T51" i="5"/>
  <c r="T52" i="5"/>
  <c r="J78" i="5"/>
  <c r="J111" i="5" s="1"/>
  <c r="S28" i="6"/>
  <c r="T52" i="6"/>
  <c r="T52" i="3"/>
  <c r="S54" i="6"/>
  <c r="S4" i="3"/>
  <c r="S18" i="3"/>
  <c r="T19" i="3"/>
  <c r="S20" i="3"/>
  <c r="S59" i="3"/>
  <c r="S102" i="3"/>
  <c r="S62" i="4"/>
  <c r="T98" i="6"/>
  <c r="S45" i="4"/>
  <c r="S30" i="5"/>
  <c r="T72" i="5"/>
  <c r="S46" i="6"/>
  <c r="T45" i="4"/>
  <c r="J110" i="4"/>
  <c r="S74" i="4"/>
  <c r="T30" i="5"/>
  <c r="T31" i="5"/>
  <c r="T59" i="5"/>
  <c r="S75" i="5"/>
  <c r="T96" i="5"/>
  <c r="T45" i="6"/>
  <c r="T46" i="6"/>
  <c r="T47" i="6"/>
  <c r="T48" i="6"/>
  <c r="S80" i="6"/>
  <c r="S59" i="5"/>
  <c r="T69" i="5"/>
  <c r="S45" i="6"/>
  <c r="T18" i="4"/>
  <c r="T25" i="3"/>
  <c r="S27" i="3"/>
  <c r="T43" i="3"/>
  <c r="S44" i="3"/>
  <c r="J54" i="3"/>
  <c r="T46" i="4"/>
  <c r="T34" i="5"/>
  <c r="S38" i="5"/>
  <c r="T75" i="5"/>
  <c r="T77" i="5"/>
  <c r="T98" i="5"/>
  <c r="T99" i="5"/>
  <c r="S100" i="5"/>
  <c r="S101" i="5"/>
  <c r="S49" i="6"/>
  <c r="T64" i="6"/>
  <c r="S98" i="6"/>
  <c r="T100" i="6"/>
  <c r="T101" i="6"/>
  <c r="T102" i="6"/>
  <c r="T44" i="3"/>
  <c r="S3" i="4"/>
  <c r="T78" i="4"/>
  <c r="T37" i="5"/>
  <c r="T78" i="5"/>
  <c r="S102" i="5"/>
  <c r="S103" i="5"/>
  <c r="T51" i="6"/>
  <c r="S82" i="6"/>
  <c r="T56" i="5"/>
  <c r="S44" i="6"/>
  <c r="T62" i="6"/>
  <c r="T44" i="4"/>
  <c r="T12" i="3"/>
  <c r="S13" i="3"/>
  <c r="S50" i="3"/>
  <c r="S87" i="3"/>
  <c r="T4" i="4"/>
  <c r="S94" i="4"/>
  <c r="T39" i="5"/>
  <c r="T40" i="5"/>
  <c r="S43" i="5"/>
  <c r="T102" i="5"/>
  <c r="S64" i="6"/>
  <c r="S31" i="5"/>
  <c r="T13" i="3"/>
  <c r="T49" i="3"/>
  <c r="S51" i="3"/>
  <c r="T72" i="3"/>
  <c r="T88" i="3"/>
  <c r="S8" i="4"/>
  <c r="T28" i="4"/>
  <c r="T29" i="4"/>
  <c r="S55" i="4"/>
  <c r="T65" i="4"/>
  <c r="S66" i="4"/>
  <c r="S96" i="4"/>
  <c r="S97" i="4"/>
  <c r="T46" i="5"/>
  <c r="T80" i="5"/>
  <c r="T81" i="5"/>
  <c r="S51" i="6"/>
  <c r="T65" i="6"/>
  <c r="S57" i="6"/>
  <c r="R57" i="6"/>
  <c r="J15" i="3"/>
  <c r="S15" i="3"/>
  <c r="S21" i="3"/>
  <c r="R21" i="3"/>
  <c r="S46" i="3"/>
  <c r="J46" i="3"/>
  <c r="S19" i="4"/>
  <c r="R19" i="4"/>
  <c r="S44" i="4"/>
  <c r="R44" i="4"/>
  <c r="R60" i="4"/>
  <c r="R102" i="4"/>
  <c r="S91" i="6"/>
  <c r="R91" i="6"/>
  <c r="R77" i="3"/>
  <c r="S77" i="3"/>
  <c r="S30" i="3"/>
  <c r="J30" i="3"/>
  <c r="T36" i="3"/>
  <c r="S71" i="3"/>
  <c r="J71" i="3"/>
  <c r="Q115" i="4"/>
  <c r="R85" i="5"/>
  <c r="S85" i="5"/>
  <c r="S11" i="3"/>
  <c r="J68" i="4"/>
  <c r="S68" i="4"/>
  <c r="S50" i="5"/>
  <c r="R50" i="5"/>
  <c r="S25" i="3"/>
  <c r="S58" i="3"/>
  <c r="T54" i="4"/>
  <c r="S65" i="5"/>
  <c r="R65" i="5"/>
  <c r="S4" i="4"/>
  <c r="R4" i="4"/>
  <c r="S14" i="3"/>
  <c r="R14" i="3"/>
  <c r="S45" i="3"/>
  <c r="R45" i="3"/>
  <c r="S11" i="4"/>
  <c r="R11" i="4"/>
  <c r="T30" i="4"/>
  <c r="S38" i="3"/>
  <c r="J38" i="3"/>
  <c r="S95" i="3"/>
  <c r="S96" i="3"/>
  <c r="R96" i="3"/>
  <c r="T32" i="4"/>
  <c r="R30" i="5"/>
  <c r="R91" i="5"/>
  <c r="R28" i="6"/>
  <c r="J28" i="3"/>
  <c r="T47" i="3"/>
  <c r="T58" i="3"/>
  <c r="J80" i="3"/>
  <c r="S80" i="3"/>
  <c r="R50" i="3"/>
  <c r="J92" i="3"/>
  <c r="S92" i="3"/>
  <c r="S91" i="4"/>
  <c r="S77" i="5"/>
  <c r="R77" i="5"/>
  <c r="S38" i="6"/>
  <c r="R38" i="6"/>
  <c r="S66" i="6"/>
  <c r="T58" i="4"/>
  <c r="S39" i="5"/>
  <c r="R39" i="5"/>
  <c r="J110" i="5"/>
  <c r="I112" i="3"/>
  <c r="S24" i="4"/>
  <c r="S43" i="6"/>
  <c r="J64" i="3"/>
  <c r="S82" i="3"/>
  <c r="R61" i="4"/>
  <c r="J63" i="4"/>
  <c r="R96" i="4"/>
  <c r="R59" i="5"/>
  <c r="R102" i="5"/>
  <c r="R30" i="6"/>
  <c r="T34" i="6"/>
  <c r="T35" i="6"/>
  <c r="T39" i="6"/>
  <c r="R46" i="6"/>
  <c r="S52" i="6"/>
  <c r="T83" i="6"/>
  <c r="T21" i="3"/>
  <c r="T30" i="3"/>
  <c r="T35" i="3"/>
  <c r="S36" i="3"/>
  <c r="S42" i="3"/>
  <c r="T45" i="3"/>
  <c r="T48" i="3"/>
  <c r="T67" i="3"/>
  <c r="T71" i="3"/>
  <c r="T77" i="3"/>
  <c r="T81" i="3"/>
  <c r="S97" i="3"/>
  <c r="S106" i="3"/>
  <c r="R28" i="4"/>
  <c r="S29" i="4"/>
  <c r="R36" i="4"/>
  <c r="T37" i="4"/>
  <c r="S38" i="4"/>
  <c r="T49" i="4"/>
  <c r="R62" i="4"/>
  <c r="T74" i="4"/>
  <c r="T75" i="4"/>
  <c r="S78" i="4"/>
  <c r="T93" i="4"/>
  <c r="T105" i="4"/>
  <c r="T32" i="5"/>
  <c r="T36" i="5"/>
  <c r="T43" i="5"/>
  <c r="R52" i="5"/>
  <c r="T67" i="5"/>
  <c r="S69" i="5"/>
  <c r="R87" i="5"/>
  <c r="T90" i="5"/>
  <c r="S32" i="6"/>
  <c r="R40" i="6"/>
  <c r="S48" i="6"/>
  <c r="T50" i="6"/>
  <c r="S65" i="6"/>
  <c r="R73" i="6"/>
  <c r="Q112" i="6"/>
  <c r="S81" i="6"/>
  <c r="R87" i="6"/>
  <c r="S31" i="3"/>
  <c r="T78" i="3"/>
  <c r="S86" i="3"/>
  <c r="T97" i="3"/>
  <c r="S12" i="4"/>
  <c r="S13" i="4"/>
  <c r="S22" i="4"/>
  <c r="T33" i="4"/>
  <c r="S34" i="4"/>
  <c r="T38" i="4"/>
  <c r="S57" i="4"/>
  <c r="S65" i="4"/>
  <c r="R98" i="4"/>
  <c r="R106" i="4"/>
  <c r="S34" i="5"/>
  <c r="T38" i="5"/>
  <c r="S44" i="5"/>
  <c r="S45" i="5"/>
  <c r="T57" i="5"/>
  <c r="S61" i="5"/>
  <c r="S62" i="5"/>
  <c r="T73" i="5"/>
  <c r="T100" i="5"/>
  <c r="T31" i="6"/>
  <c r="T60" i="6"/>
  <c r="T61" i="6"/>
  <c r="T74" i="6"/>
  <c r="R80" i="6"/>
  <c r="R95" i="6"/>
  <c r="S105" i="6"/>
  <c r="T28" i="3"/>
  <c r="T37" i="3"/>
  <c r="S55" i="3"/>
  <c r="T85" i="3"/>
  <c r="T99" i="3"/>
  <c r="T101" i="3"/>
  <c r="T102" i="3"/>
  <c r="T5" i="4"/>
  <c r="T12" i="4"/>
  <c r="T13" i="4"/>
  <c r="S14" i="4"/>
  <c r="T20" i="4"/>
  <c r="T22" i="4"/>
  <c r="T34" i="4"/>
  <c r="S41" i="4"/>
  <c r="S51" i="4"/>
  <c r="T57" i="4"/>
  <c r="T96" i="4"/>
  <c r="S28" i="5"/>
  <c r="T45" i="5"/>
  <c r="S46" i="5"/>
  <c r="T49" i="5"/>
  <c r="I110" i="5"/>
  <c r="S53" i="5"/>
  <c r="S54" i="5"/>
  <c r="T83" i="5"/>
  <c r="T92" i="5"/>
  <c r="T93" i="5"/>
  <c r="T101" i="5"/>
  <c r="S104" i="5"/>
  <c r="R32" i="6"/>
  <c r="R41" i="6"/>
  <c r="R48" i="6"/>
  <c r="T53" i="6"/>
  <c r="T66" i="6"/>
  <c r="R74" i="6"/>
  <c r="T85" i="6"/>
  <c r="S88" i="6"/>
  <c r="T99" i="6"/>
  <c r="T104" i="6"/>
  <c r="T7" i="3"/>
  <c r="T8" i="3"/>
  <c r="T55" i="3"/>
  <c r="T73" i="3"/>
  <c r="T79" i="3"/>
  <c r="R102" i="3"/>
  <c r="S7" i="4"/>
  <c r="T14" i="4"/>
  <c r="S15" i="4"/>
  <c r="R22" i="4"/>
  <c r="S52" i="4"/>
  <c r="S53" i="4"/>
  <c r="S69" i="4"/>
  <c r="T99" i="4"/>
  <c r="R34" i="5"/>
  <c r="R45" i="5"/>
  <c r="T53" i="5"/>
  <c r="S71" i="5"/>
  <c r="T76" i="5"/>
  <c r="S79" i="5"/>
  <c r="T84" i="5"/>
  <c r="T85" i="5"/>
  <c r="S42" i="6"/>
  <c r="R66" i="6"/>
  <c r="S75" i="6"/>
  <c r="T88" i="6"/>
  <c r="S89" i="6"/>
  <c r="S96" i="6"/>
  <c r="S97" i="6"/>
  <c r="S10" i="3"/>
  <c r="T16" i="3"/>
  <c r="S23" i="3"/>
  <c r="T32" i="3"/>
  <c r="S40" i="3"/>
  <c r="T62" i="3"/>
  <c r="S67" i="3"/>
  <c r="T75" i="3"/>
  <c r="S103" i="3"/>
  <c r="R14" i="4"/>
  <c r="S16" i="4"/>
  <c r="S31" i="4"/>
  <c r="R41" i="4"/>
  <c r="R51" i="4"/>
  <c r="T52" i="4"/>
  <c r="T53" i="4"/>
  <c r="S59" i="4"/>
  <c r="T69" i="4"/>
  <c r="S70" i="4"/>
  <c r="R99" i="4"/>
  <c r="R28" i="5"/>
  <c r="R46" i="5"/>
  <c r="R54" i="5"/>
  <c r="S70" i="5"/>
  <c r="R33" i="6"/>
  <c r="S34" i="6"/>
  <c r="S35" i="6"/>
  <c r="R54" i="6"/>
  <c r="S67" i="6"/>
  <c r="S77" i="6"/>
  <c r="R82" i="6"/>
  <c r="R88" i="6"/>
  <c r="T92" i="6"/>
  <c r="T106" i="6"/>
  <c r="T17" i="3"/>
  <c r="T39" i="3"/>
  <c r="S93" i="3"/>
  <c r="T103" i="3"/>
  <c r="T10" i="4"/>
  <c r="S32" i="4"/>
  <c r="T47" i="4"/>
  <c r="T48" i="4"/>
  <c r="T73" i="4"/>
  <c r="T104" i="4"/>
  <c r="T29" i="5"/>
  <c r="S36" i="5"/>
  <c r="T41" i="5"/>
  <c r="T55" i="5"/>
  <c r="S64" i="5"/>
  <c r="T66" i="5"/>
  <c r="R71" i="5"/>
  <c r="R79" i="5"/>
  <c r="S80" i="5"/>
  <c r="S36" i="6"/>
  <c r="R42" i="6"/>
  <c r="S69" i="6"/>
  <c r="T73" i="6"/>
  <c r="S78" i="6"/>
  <c r="S83" i="6"/>
  <c r="R89" i="6"/>
  <c r="R97" i="6"/>
  <c r="S106" i="6"/>
  <c r="Z110" i="6"/>
  <c r="W108" i="3"/>
  <c r="D6" i="1" s="1"/>
  <c r="V111" i="3"/>
  <c r="C11" i="1" s="1"/>
  <c r="X110" i="6"/>
  <c r="E44" i="1" s="1"/>
  <c r="X108" i="3"/>
  <c r="E6" i="1" s="1"/>
  <c r="W111" i="3"/>
  <c r="D11" i="1" s="1"/>
  <c r="Y108" i="3"/>
  <c r="V112" i="3"/>
  <c r="C9" i="1" s="1"/>
  <c r="W110" i="5"/>
  <c r="D32" i="1" s="1"/>
  <c r="W112" i="3"/>
  <c r="D9" i="1" s="1"/>
  <c r="W110" i="4"/>
  <c r="D20" i="1" s="1"/>
  <c r="Z113" i="4"/>
  <c r="Y113" i="5"/>
  <c r="Z114" i="3"/>
  <c r="Z107" i="3"/>
  <c r="AA114" i="3"/>
  <c r="AA107" i="3"/>
  <c r="V109" i="3"/>
  <c r="C7" i="1" s="1"/>
  <c r="V114" i="4"/>
  <c r="C22" i="1" s="1"/>
  <c r="V107" i="4"/>
  <c r="C17" i="1" s="1"/>
  <c r="Y114" i="3"/>
  <c r="Y107" i="3"/>
  <c r="W109" i="3"/>
  <c r="D7" i="1" s="1"/>
  <c r="W110" i="6"/>
  <c r="D44" i="1" s="1"/>
  <c r="Z109" i="3"/>
  <c r="Z108" i="3"/>
  <c r="X109" i="3"/>
  <c r="E7" i="1" s="1"/>
  <c r="Y112" i="3"/>
  <c r="W113" i="4"/>
  <c r="D24" i="1" s="1"/>
  <c r="AA110" i="5"/>
  <c r="AA110" i="6"/>
  <c r="AA108" i="3"/>
  <c r="Y109" i="3"/>
  <c r="Z112" i="3"/>
  <c r="V113" i="3"/>
  <c r="C12" i="1" s="1"/>
  <c r="Y113" i="4"/>
  <c r="AA109" i="3"/>
  <c r="V109" i="4"/>
  <c r="C19" i="1" s="1"/>
  <c r="AA113" i="4"/>
  <c r="Y111" i="3"/>
  <c r="Y114" i="4"/>
  <c r="Y107" i="4"/>
  <c r="W108" i="4"/>
  <c r="D18" i="1" s="1"/>
  <c r="Y112" i="6"/>
  <c r="W110" i="3"/>
  <c r="D8" i="1" s="1"/>
  <c r="Z111" i="3"/>
  <c r="AA107" i="4"/>
  <c r="AA114" i="4"/>
  <c r="X108" i="4"/>
  <c r="E18" i="1" s="1"/>
  <c r="Z112" i="6"/>
  <c r="X107" i="4"/>
  <c r="E17" i="1" s="1"/>
  <c r="X114" i="4"/>
  <c r="E22" i="1" s="1"/>
  <c r="X110" i="3"/>
  <c r="E8" i="1" s="1"/>
  <c r="AA108" i="4"/>
  <c r="W112" i="5"/>
  <c r="D33" i="1" s="1"/>
  <c r="V111" i="5"/>
  <c r="C35" i="1" s="1"/>
  <c r="X111" i="5"/>
  <c r="E35" i="1" s="1"/>
  <c r="Y110" i="3"/>
  <c r="X112" i="5"/>
  <c r="E33" i="1" s="1"/>
  <c r="Z110" i="3"/>
  <c r="Y112" i="5"/>
  <c r="V111" i="6"/>
  <c r="C47" i="1" s="1"/>
  <c r="V112" i="6"/>
  <c r="C45" i="1" s="1"/>
  <c r="V107" i="3"/>
  <c r="C5" i="1" s="1"/>
  <c r="V114" i="3"/>
  <c r="C10" i="1" s="1"/>
  <c r="AA110" i="3"/>
  <c r="V109" i="5"/>
  <c r="C31" i="1" s="1"/>
  <c r="V114" i="5"/>
  <c r="C34" i="1" s="1"/>
  <c r="AA112" i="5"/>
  <c r="W111" i="6"/>
  <c r="D47" i="1" s="1"/>
  <c r="W114" i="4"/>
  <c r="D22" i="1" s="1"/>
  <c r="W107" i="4"/>
  <c r="D17" i="1" s="1"/>
  <c r="W109" i="5"/>
  <c r="D31" i="1" s="1"/>
  <c r="W114" i="5"/>
  <c r="D34" i="1" s="1"/>
  <c r="X111" i="3"/>
  <c r="E11" i="1" s="1"/>
  <c r="W107" i="3"/>
  <c r="D5" i="1" s="1"/>
  <c r="W114" i="3"/>
  <c r="X114" i="3"/>
  <c r="E10" i="1" s="1"/>
  <c r="X107" i="3"/>
  <c r="E5" i="1" s="1"/>
  <c r="V110" i="4"/>
  <c r="C20" i="1" s="1"/>
  <c r="Y114" i="5"/>
  <c r="Y109" i="5"/>
  <c r="AA111" i="3"/>
  <c r="X112" i="3"/>
  <c r="E9" i="1" s="1"/>
  <c r="Z107" i="4"/>
  <c r="Z114" i="4"/>
  <c r="V108" i="4"/>
  <c r="C18" i="1" s="1"/>
  <c r="Z113" i="5"/>
  <c r="Y110" i="6"/>
  <c r="W112" i="6"/>
  <c r="D45" i="1" s="1"/>
  <c r="AA112" i="3"/>
  <c r="Y108" i="4"/>
  <c r="Y110" i="5"/>
  <c r="AA112" i="6"/>
  <c r="Z108" i="4"/>
  <c r="Z110" i="5"/>
  <c r="W113" i="3"/>
  <c r="D12" i="1" s="1"/>
  <c r="W109" i="4"/>
  <c r="D19" i="1" s="1"/>
  <c r="X110" i="4"/>
  <c r="E20" i="1" s="1"/>
  <c r="V111" i="4"/>
  <c r="C23" i="1" s="1"/>
  <c r="Y111" i="5"/>
  <c r="X111" i="6"/>
  <c r="E47" i="1" s="1"/>
  <c r="W113" i="6"/>
  <c r="D48" i="1" s="1"/>
  <c r="X113" i="3"/>
  <c r="E12" i="1" s="1"/>
  <c r="X109" i="4"/>
  <c r="E19" i="1" s="1"/>
  <c r="Y110" i="4"/>
  <c r="W111" i="4"/>
  <c r="D23" i="1" s="1"/>
  <c r="Z111" i="5"/>
  <c r="Y111" i="6"/>
  <c r="X113" i="6"/>
  <c r="E48" i="1" s="1"/>
  <c r="Y113" i="3"/>
  <c r="Y109" i="4"/>
  <c r="Z110" i="4"/>
  <c r="Z111" i="4"/>
  <c r="AA111" i="5"/>
  <c r="Z111" i="6"/>
  <c r="AA113" i="6"/>
  <c r="Z113" i="3"/>
  <c r="Z109" i="4"/>
  <c r="AA110" i="4"/>
  <c r="AA113" i="3"/>
  <c r="AA109" i="4"/>
  <c r="W114" i="6"/>
  <c r="D46" i="1" s="1"/>
  <c r="W109" i="6"/>
  <c r="D43" i="1" s="1"/>
  <c r="AA114" i="6"/>
  <c r="AA109" i="6"/>
  <c r="V108" i="3"/>
  <c r="C6" i="1" s="1"/>
  <c r="V110" i="3"/>
  <c r="C8" i="1" s="1"/>
  <c r="V112" i="5"/>
  <c r="C33" i="1" s="1"/>
  <c r="X111" i="4"/>
  <c r="E23" i="1" s="1"/>
  <c r="AA113" i="5"/>
  <c r="Y113" i="6"/>
  <c r="Y111" i="4"/>
  <c r="V113" i="4"/>
  <c r="C24" i="1" s="1"/>
  <c r="V110" i="5"/>
  <c r="C32" i="1" s="1"/>
  <c r="Z113" i="6"/>
  <c r="AA111" i="4"/>
  <c r="X113" i="4"/>
  <c r="E24" i="1" s="1"/>
  <c r="X110" i="5"/>
  <c r="E32" i="1" s="1"/>
  <c r="W111" i="5"/>
  <c r="D35" i="1" s="1"/>
  <c r="V110" i="6"/>
  <c r="C44" i="1" s="1"/>
  <c r="Z112" i="5"/>
  <c r="AA111" i="6"/>
  <c r="X112" i="6"/>
  <c r="E45" i="1" s="1"/>
  <c r="X114" i="5"/>
  <c r="E34" i="1" s="1"/>
  <c r="X109" i="5"/>
  <c r="E31" i="1" s="1"/>
  <c r="V114" i="6"/>
  <c r="C46" i="1" s="1"/>
  <c r="V109" i="6"/>
  <c r="C43" i="1" s="1"/>
  <c r="Z114" i="5"/>
  <c r="Z109" i="5"/>
  <c r="V113" i="5"/>
  <c r="C36" i="1" s="1"/>
  <c r="X114" i="6"/>
  <c r="E46" i="1" s="1"/>
  <c r="X109" i="6"/>
  <c r="E43" i="1" s="1"/>
  <c r="AA114" i="5"/>
  <c r="AA109" i="5"/>
  <c r="W113" i="5"/>
  <c r="D36" i="1" s="1"/>
  <c r="Y114" i="6"/>
  <c r="Y109" i="6"/>
  <c r="X113" i="5"/>
  <c r="E36" i="1" s="1"/>
  <c r="Z114" i="6"/>
  <c r="Z109" i="6"/>
  <c r="V113" i="6"/>
  <c r="C48" i="1" s="1"/>
  <c r="AC6" i="2"/>
  <c r="R42" i="4"/>
  <c r="S42" i="4"/>
  <c r="I113" i="4"/>
  <c r="S8" i="3"/>
  <c r="R8" i="3"/>
  <c r="R33" i="3"/>
  <c r="S60" i="3"/>
  <c r="S39" i="4"/>
  <c r="R39" i="4"/>
  <c r="J113" i="4"/>
  <c r="S106" i="5"/>
  <c r="R106" i="5"/>
  <c r="S10" i="4"/>
  <c r="J10" i="4"/>
  <c r="T80" i="6"/>
  <c r="S81" i="5"/>
  <c r="R81" i="5"/>
  <c r="S39" i="3"/>
  <c r="R39" i="3"/>
  <c r="R49" i="3"/>
  <c r="S49" i="3"/>
  <c r="S75" i="3"/>
  <c r="J75" i="3"/>
  <c r="S20" i="4"/>
  <c r="R20" i="4"/>
  <c r="T42" i="3"/>
  <c r="R59" i="3"/>
  <c r="I114" i="4"/>
  <c r="I115" i="4"/>
  <c r="I107" i="4"/>
  <c r="T3" i="4"/>
  <c r="S56" i="5"/>
  <c r="R56" i="5"/>
  <c r="S63" i="6"/>
  <c r="J63" i="6"/>
  <c r="J111" i="6" s="1"/>
  <c r="S105" i="4"/>
  <c r="R105" i="4"/>
  <c r="S79" i="3"/>
  <c r="J114" i="5"/>
  <c r="J109" i="5"/>
  <c r="S3" i="3"/>
  <c r="T10" i="3"/>
  <c r="T24" i="3"/>
  <c r="S99" i="3"/>
  <c r="R99" i="3"/>
  <c r="R13" i="4"/>
  <c r="R43" i="5"/>
  <c r="R29" i="6"/>
  <c r="T91" i="6"/>
  <c r="I113" i="6"/>
  <c r="R74" i="3"/>
  <c r="S74" i="3"/>
  <c r="T90" i="3"/>
  <c r="R35" i="4"/>
  <c r="S35" i="4"/>
  <c r="J34" i="4"/>
  <c r="S37" i="5"/>
  <c r="R37" i="5"/>
  <c r="Q113" i="5"/>
  <c r="T91" i="5"/>
  <c r="S62" i="3"/>
  <c r="J62" i="3"/>
  <c r="I114" i="5"/>
  <c r="S48" i="3"/>
  <c r="I112" i="5"/>
  <c r="T79" i="5"/>
  <c r="J113" i="5"/>
  <c r="J109" i="6"/>
  <c r="S43" i="3"/>
  <c r="S104" i="6"/>
  <c r="R104" i="6"/>
  <c r="J53" i="3"/>
  <c r="S53" i="3"/>
  <c r="S78" i="3"/>
  <c r="R78" i="3"/>
  <c r="Q110" i="3"/>
  <c r="J30" i="4"/>
  <c r="S30" i="4"/>
  <c r="I108" i="3"/>
  <c r="S22" i="3"/>
  <c r="J22" i="3"/>
  <c r="S65" i="3"/>
  <c r="R65" i="3"/>
  <c r="I111" i="5"/>
  <c r="J100" i="3"/>
  <c r="S100" i="3"/>
  <c r="R27" i="4"/>
  <c r="S27" i="4"/>
  <c r="S74" i="5"/>
  <c r="R74" i="5"/>
  <c r="R69" i="3"/>
  <c r="S69" i="3"/>
  <c r="I111" i="3"/>
  <c r="S49" i="4"/>
  <c r="R49" i="4"/>
  <c r="S73" i="5"/>
  <c r="R73" i="5"/>
  <c r="S58" i="6"/>
  <c r="R58" i="6"/>
  <c r="Q115" i="3"/>
  <c r="S6" i="4"/>
  <c r="J6" i="4"/>
  <c r="S19" i="3"/>
  <c r="R19" i="3"/>
  <c r="S26" i="3"/>
  <c r="R26" i="3"/>
  <c r="S34" i="3"/>
  <c r="T68" i="3"/>
  <c r="Q108" i="4"/>
  <c r="T15" i="4"/>
  <c r="S33" i="5"/>
  <c r="R33" i="5"/>
  <c r="S84" i="6"/>
  <c r="R84" i="6"/>
  <c r="Q113" i="6"/>
  <c r="S5" i="3"/>
  <c r="R5" i="3"/>
  <c r="J42" i="3"/>
  <c r="S7" i="3"/>
  <c r="R7" i="3"/>
  <c r="S9" i="3"/>
  <c r="J9" i="3"/>
  <c r="S101" i="6"/>
  <c r="R101" i="6"/>
  <c r="J68" i="3"/>
  <c r="S68" i="3"/>
  <c r="R12" i="3"/>
  <c r="S12" i="3"/>
  <c r="S37" i="3"/>
  <c r="R37" i="3"/>
  <c r="S98" i="3"/>
  <c r="R98" i="3"/>
  <c r="T9" i="4"/>
  <c r="Q107" i="4"/>
  <c r="S46" i="4"/>
  <c r="R46" i="4"/>
  <c r="T42" i="5"/>
  <c r="S60" i="5"/>
  <c r="R60" i="5"/>
  <c r="I115" i="6"/>
  <c r="I114" i="6"/>
  <c r="I109" i="6"/>
  <c r="T27" i="6"/>
  <c r="S101" i="4"/>
  <c r="R101" i="4"/>
  <c r="I110" i="3"/>
  <c r="Q113" i="4"/>
  <c r="T94" i="4"/>
  <c r="I115" i="5"/>
  <c r="S67" i="5"/>
  <c r="R67" i="5"/>
  <c r="I115" i="3"/>
  <c r="S32" i="3"/>
  <c r="R32" i="3"/>
  <c r="S63" i="3"/>
  <c r="R63" i="3"/>
  <c r="T98" i="3"/>
  <c r="T97" i="4"/>
  <c r="S94" i="5"/>
  <c r="R94" i="5"/>
  <c r="T31" i="3"/>
  <c r="T63" i="3"/>
  <c r="S73" i="3"/>
  <c r="T82" i="3"/>
  <c r="S90" i="3"/>
  <c r="R90" i="3"/>
  <c r="S42" i="5"/>
  <c r="R42" i="5"/>
  <c r="S76" i="5"/>
  <c r="R76" i="5"/>
  <c r="J114" i="6"/>
  <c r="T28" i="6"/>
  <c r="S100" i="6"/>
  <c r="R100" i="6"/>
  <c r="S103" i="6"/>
  <c r="R103" i="6"/>
  <c r="S26" i="4"/>
  <c r="R26" i="4"/>
  <c r="S24" i="3"/>
  <c r="R24" i="3"/>
  <c r="S101" i="3"/>
  <c r="S105" i="3"/>
  <c r="R105" i="3"/>
  <c r="S67" i="4"/>
  <c r="R67" i="4"/>
  <c r="S90" i="5"/>
  <c r="R90" i="5"/>
  <c r="R45" i="6"/>
  <c r="J110" i="6"/>
  <c r="R75" i="6"/>
  <c r="S68" i="6"/>
  <c r="R68" i="6"/>
  <c r="Q114" i="3"/>
  <c r="Q107" i="3"/>
  <c r="I109" i="3"/>
  <c r="T57" i="3"/>
  <c r="T105" i="3"/>
  <c r="S48" i="4"/>
  <c r="R74" i="4"/>
  <c r="S77" i="4"/>
  <c r="T100" i="4"/>
  <c r="R69" i="5"/>
  <c r="S86" i="5"/>
  <c r="T97" i="5"/>
  <c r="S37" i="6"/>
  <c r="R37" i="6"/>
  <c r="T41" i="6"/>
  <c r="R78" i="6"/>
  <c r="R93" i="6"/>
  <c r="T23" i="3"/>
  <c r="R3" i="3"/>
  <c r="T5" i="3"/>
  <c r="R10" i="3"/>
  <c r="S17" i="3"/>
  <c r="R23" i="3"/>
  <c r="R35" i="3"/>
  <c r="R51" i="3"/>
  <c r="S57" i="3"/>
  <c r="R72" i="3"/>
  <c r="T76" i="3"/>
  <c r="R55" i="4"/>
  <c r="R59" i="4"/>
  <c r="R104" i="5"/>
  <c r="S27" i="6"/>
  <c r="R27" i="6"/>
  <c r="R34" i="6"/>
  <c r="R60" i="6"/>
  <c r="T41" i="3"/>
  <c r="R52" i="3"/>
  <c r="S61" i="3"/>
  <c r="R76" i="3"/>
  <c r="I113" i="3"/>
  <c r="S18" i="4"/>
  <c r="S21" i="4"/>
  <c r="R21" i="4"/>
  <c r="R29" i="4"/>
  <c r="S33" i="4"/>
  <c r="R33" i="4"/>
  <c r="S41" i="5"/>
  <c r="R41" i="5"/>
  <c r="S48" i="5"/>
  <c r="R48" i="5"/>
  <c r="T58" i="5"/>
  <c r="S82" i="5"/>
  <c r="R82" i="5"/>
  <c r="R93" i="5"/>
  <c r="R100" i="5"/>
  <c r="T82" i="6"/>
  <c r="T96" i="6"/>
  <c r="T3" i="3"/>
  <c r="R4" i="3"/>
  <c r="R36" i="3"/>
  <c r="S41" i="3"/>
  <c r="R37" i="4"/>
  <c r="S40" i="4"/>
  <c r="R40" i="4"/>
  <c r="S47" i="4"/>
  <c r="R47" i="4"/>
  <c r="T63" i="4"/>
  <c r="Q111" i="4"/>
  <c r="R58" i="5"/>
  <c r="S72" i="5"/>
  <c r="R72" i="5"/>
  <c r="I113" i="5"/>
  <c r="I111" i="6"/>
  <c r="R96" i="6"/>
  <c r="S47" i="3"/>
  <c r="S16" i="3"/>
  <c r="R16" i="3"/>
  <c r="R61" i="3"/>
  <c r="S70" i="3"/>
  <c r="S84" i="3"/>
  <c r="I109" i="4"/>
  <c r="R51" i="5"/>
  <c r="R59" i="6"/>
  <c r="Q109" i="3"/>
  <c r="S56" i="3"/>
  <c r="T66" i="3"/>
  <c r="Q112" i="3"/>
  <c r="T84" i="3"/>
  <c r="S73" i="4"/>
  <c r="R73" i="4"/>
  <c r="S76" i="4"/>
  <c r="R76" i="4"/>
  <c r="S99" i="5"/>
  <c r="R99" i="5"/>
  <c r="S47" i="6"/>
  <c r="S110" i="6" s="1"/>
  <c r="F44" i="1" s="1"/>
  <c r="R47" i="6"/>
  <c r="S55" i="6"/>
  <c r="R55" i="6"/>
  <c r="S62" i="6"/>
  <c r="R62" i="6"/>
  <c r="S92" i="6"/>
  <c r="R92" i="6"/>
  <c r="I110" i="4"/>
  <c r="S85" i="3"/>
  <c r="R85" i="3"/>
  <c r="Q108" i="3"/>
  <c r="T15" i="3"/>
  <c r="T92" i="4"/>
  <c r="T44" i="6"/>
  <c r="Q110" i="6"/>
  <c r="T77" i="6"/>
  <c r="J113" i="6"/>
  <c r="I111" i="4"/>
  <c r="S91" i="3"/>
  <c r="Q110" i="4"/>
  <c r="S93" i="4"/>
  <c r="R93" i="4"/>
  <c r="S63" i="5"/>
  <c r="S68" i="5"/>
  <c r="T33" i="6"/>
  <c r="S50" i="6"/>
  <c r="Q113" i="3"/>
  <c r="I114" i="3"/>
  <c r="S58" i="4"/>
  <c r="T64" i="4"/>
  <c r="T63" i="5"/>
  <c r="J112" i="5"/>
  <c r="S98" i="5"/>
  <c r="R98" i="5"/>
  <c r="Q111" i="6"/>
  <c r="S86" i="6"/>
  <c r="I107" i="3"/>
  <c r="S5" i="4"/>
  <c r="S72" i="4"/>
  <c r="R72" i="4"/>
  <c r="S89" i="5"/>
  <c r="R89" i="5"/>
  <c r="Q115" i="6"/>
  <c r="S53" i="6"/>
  <c r="I112" i="6"/>
  <c r="S75" i="4"/>
  <c r="S49" i="5"/>
  <c r="R49" i="5"/>
  <c r="S84" i="5"/>
  <c r="S31" i="6"/>
  <c r="R31" i="6"/>
  <c r="T49" i="6"/>
  <c r="J112" i="6"/>
  <c r="S94" i="6"/>
  <c r="I108" i="4"/>
  <c r="S92" i="4"/>
  <c r="R92" i="4"/>
  <c r="Q114" i="4"/>
  <c r="I109" i="5"/>
  <c r="I110" i="6"/>
  <c r="R53" i="6"/>
  <c r="S99" i="6"/>
  <c r="R47" i="3"/>
  <c r="R55" i="3"/>
  <c r="R97" i="3"/>
  <c r="R18" i="4"/>
  <c r="R52" i="4"/>
  <c r="T62" i="4"/>
  <c r="T71" i="4"/>
  <c r="R75" i="4"/>
  <c r="S95" i="4"/>
  <c r="S27" i="5"/>
  <c r="S57" i="5"/>
  <c r="R57" i="5"/>
  <c r="R75" i="5"/>
  <c r="Q112" i="5"/>
  <c r="R84" i="5"/>
  <c r="S97" i="5"/>
  <c r="R97" i="5"/>
  <c r="S61" i="6"/>
  <c r="R71" i="6"/>
  <c r="S76" i="6"/>
  <c r="R76" i="6"/>
  <c r="T90" i="6"/>
  <c r="R94" i="6"/>
  <c r="R103" i="3"/>
  <c r="R12" i="4"/>
  <c r="R25" i="4"/>
  <c r="R31" i="4"/>
  <c r="R38" i="4"/>
  <c r="R57" i="4"/>
  <c r="S100" i="4"/>
  <c r="R100" i="4"/>
  <c r="R104" i="4"/>
  <c r="Q115" i="5"/>
  <c r="Q114" i="5"/>
  <c r="Q109" i="5"/>
  <c r="T28" i="5"/>
  <c r="S32" i="5"/>
  <c r="R32" i="5"/>
  <c r="R36" i="5"/>
  <c r="R53" i="5"/>
  <c r="S66" i="5"/>
  <c r="R66" i="5"/>
  <c r="R80" i="5"/>
  <c r="S92" i="5"/>
  <c r="R35" i="6"/>
  <c r="S39" i="6"/>
  <c r="R39" i="6"/>
  <c r="T57" i="6"/>
  <c r="R67" i="6"/>
  <c r="R72" i="6"/>
  <c r="R85" i="6"/>
  <c r="R99" i="6"/>
  <c r="S102" i="6"/>
  <c r="R40" i="3"/>
  <c r="R48" i="3"/>
  <c r="R56" i="3"/>
  <c r="R73" i="3"/>
  <c r="R81" i="3"/>
  <c r="R89" i="3"/>
  <c r="Q111" i="3"/>
  <c r="R3" i="4"/>
  <c r="S23" i="4"/>
  <c r="R32" i="4"/>
  <c r="R45" i="4"/>
  <c r="S50" i="4"/>
  <c r="T91" i="4"/>
  <c r="R95" i="4"/>
  <c r="S103" i="4"/>
  <c r="R27" i="5"/>
  <c r="S35" i="5"/>
  <c r="R44" i="6"/>
  <c r="R61" i="6"/>
  <c r="J65" i="4"/>
  <c r="T27" i="5"/>
  <c r="S40" i="5"/>
  <c r="R40" i="5"/>
  <c r="R83" i="5"/>
  <c r="R92" i="5"/>
  <c r="S105" i="5"/>
  <c r="R105" i="5"/>
  <c r="S70" i="6"/>
  <c r="R102" i="6"/>
  <c r="T47" i="5"/>
  <c r="T63" i="6"/>
  <c r="Q109" i="6"/>
  <c r="Q114" i="6"/>
  <c r="AL4" i="2"/>
  <c r="AG3" i="2"/>
  <c r="AF5" i="2"/>
  <c r="AI3" i="2"/>
  <c r="AG5" i="2"/>
  <c r="AE4" i="2"/>
  <c r="AK4" i="2"/>
  <c r="AE5" i="2"/>
  <c r="AF3" i="2"/>
  <c r="AD4" i="2"/>
  <c r="AL3" i="2"/>
  <c r="AD3" i="2"/>
  <c r="AF4" i="2"/>
  <c r="AD5" i="2"/>
  <c r="AE3" i="2"/>
  <c r="AJ4" i="2"/>
  <c r="AI4" i="2"/>
  <c r="AI5" i="2"/>
  <c r="AJ5" i="2"/>
  <c r="AK3" i="2"/>
  <c r="AJ3" i="2"/>
  <c r="AK5" i="2"/>
  <c r="AG4" i="2"/>
  <c r="AL5" i="2"/>
  <c r="J113" i="3" l="1"/>
  <c r="R112" i="3"/>
  <c r="J115" i="5"/>
  <c r="R112" i="5"/>
  <c r="T112" i="6"/>
  <c r="G45" i="1" s="1"/>
  <c r="S112" i="6"/>
  <c r="F45" i="1" s="1"/>
  <c r="J112" i="3"/>
  <c r="J107" i="3"/>
  <c r="J110" i="3"/>
  <c r="J107" i="4"/>
  <c r="J111" i="4"/>
  <c r="J108" i="3"/>
  <c r="T112" i="5"/>
  <c r="G33" i="1" s="1"/>
  <c r="T108" i="4"/>
  <c r="G18" i="1" s="1"/>
  <c r="J109" i="3"/>
  <c r="Q116" i="5"/>
  <c r="Q116" i="4"/>
  <c r="J114" i="4"/>
  <c r="T110" i="4"/>
  <c r="G20" i="1" s="1"/>
  <c r="T109" i="4"/>
  <c r="G19" i="1" s="1"/>
  <c r="T113" i="3"/>
  <c r="G12" i="1" s="1"/>
  <c r="S113" i="5"/>
  <c r="F36" i="1" s="1"/>
  <c r="R113" i="5"/>
  <c r="J109" i="4"/>
  <c r="R110" i="5"/>
  <c r="R111" i="5"/>
  <c r="T111" i="5"/>
  <c r="G35" i="1" s="1"/>
  <c r="S113" i="3"/>
  <c r="F12" i="1" s="1"/>
  <c r="R111" i="4"/>
  <c r="T112" i="3"/>
  <c r="G9" i="1" s="1"/>
  <c r="S109" i="3"/>
  <c r="F7" i="1" s="1"/>
  <c r="S112" i="5"/>
  <c r="F33" i="1" s="1"/>
  <c r="S113" i="4"/>
  <c r="F24" i="1" s="1"/>
  <c r="R108" i="4"/>
  <c r="S113" i="6"/>
  <c r="F48" i="1" s="1"/>
  <c r="R108" i="3"/>
  <c r="R109" i="3"/>
  <c r="R112" i="6"/>
  <c r="R113" i="3"/>
  <c r="S108" i="3"/>
  <c r="F6" i="1" s="1"/>
  <c r="S108" i="4"/>
  <c r="F18" i="1" s="1"/>
  <c r="T111" i="3"/>
  <c r="G11" i="1" s="1"/>
  <c r="T110" i="6"/>
  <c r="G44" i="1" s="1"/>
  <c r="S110" i="3"/>
  <c r="F8" i="1" s="1"/>
  <c r="T110" i="3"/>
  <c r="G8" i="1" s="1"/>
  <c r="T109" i="3"/>
  <c r="G7" i="1" s="1"/>
  <c r="J111" i="3"/>
  <c r="R113" i="4"/>
  <c r="R111" i="6"/>
  <c r="R113" i="6"/>
  <c r="S111" i="4"/>
  <c r="F23" i="1" s="1"/>
  <c r="S114" i="4"/>
  <c r="F22" i="1" s="1"/>
  <c r="R110" i="6"/>
  <c r="S110" i="5"/>
  <c r="F32" i="1" s="1"/>
  <c r="J115" i="4"/>
  <c r="S111" i="6"/>
  <c r="F47" i="1" s="1"/>
  <c r="T107" i="3"/>
  <c r="G5" i="1" s="1"/>
  <c r="T114" i="3"/>
  <c r="G10" i="1" s="1"/>
  <c r="R107" i="3"/>
  <c r="R115" i="3"/>
  <c r="R114" i="3"/>
  <c r="R109" i="5"/>
  <c r="R115" i="5"/>
  <c r="R114" i="5"/>
  <c r="T108" i="3"/>
  <c r="G6" i="1" s="1"/>
  <c r="S107" i="4"/>
  <c r="F17" i="1" s="1"/>
  <c r="R111" i="3"/>
  <c r="T111" i="6"/>
  <c r="G47" i="1" s="1"/>
  <c r="R110" i="4"/>
  <c r="J115" i="6"/>
  <c r="J114" i="3"/>
  <c r="J115" i="3"/>
  <c r="S110" i="4"/>
  <c r="F20" i="1" s="1"/>
  <c r="S109" i="4"/>
  <c r="F19" i="1" s="1"/>
  <c r="T113" i="5"/>
  <c r="G36" i="1" s="1"/>
  <c r="T111" i="4"/>
  <c r="G23" i="1" s="1"/>
  <c r="R109" i="4"/>
  <c r="S107" i="3"/>
  <c r="F5" i="1" s="1"/>
  <c r="S114" i="3"/>
  <c r="F10" i="1" s="1"/>
  <c r="T114" i="6"/>
  <c r="G46" i="1" s="1"/>
  <c r="T109" i="6"/>
  <c r="G43" i="1" s="1"/>
  <c r="S114" i="5"/>
  <c r="F34" i="1" s="1"/>
  <c r="S109" i="5"/>
  <c r="F31" i="1" s="1"/>
  <c r="S114" i="6"/>
  <c r="F46" i="1" s="1"/>
  <c r="S109" i="6"/>
  <c r="F43" i="1" s="1"/>
  <c r="Q116" i="6"/>
  <c r="Q116" i="3"/>
  <c r="T109" i="5"/>
  <c r="G31" i="1" s="1"/>
  <c r="T114" i="5"/>
  <c r="G34" i="1" s="1"/>
  <c r="S111" i="5"/>
  <c r="F35" i="1" s="1"/>
  <c r="T113" i="6"/>
  <c r="G48" i="1" s="1"/>
  <c r="T110" i="5"/>
  <c r="G32" i="1" s="1"/>
  <c r="R114" i="4"/>
  <c r="R107" i="4"/>
  <c r="R115" i="4"/>
  <c r="S112" i="3"/>
  <c r="F9" i="1" s="1"/>
  <c r="T114" i="4"/>
  <c r="G22" i="1" s="1"/>
  <c r="T107" i="4"/>
  <c r="G17" i="1" s="1"/>
  <c r="R115" i="6"/>
  <c r="R114" i="6"/>
  <c r="R109" i="6"/>
  <c r="R110" i="3"/>
  <c r="T113" i="4"/>
  <c r="G24" i="1" s="1"/>
  <c r="S111" i="3"/>
  <c r="F11" i="1" s="1"/>
  <c r="AE6" i="2"/>
  <c r="AK6" i="2"/>
  <c r="AD6" i="2"/>
  <c r="AG6" i="2"/>
  <c r="AF6" i="2"/>
  <c r="AI6" i="2"/>
  <c r="AJ6" i="2"/>
  <c r="AL6" i="2"/>
  <c r="R116" i="5" l="1"/>
  <c r="R116" i="6"/>
  <c r="R116" i="4"/>
  <c r="AG12" i="2"/>
  <c r="AG15" i="2" s="1"/>
  <c r="AG13" i="2"/>
  <c r="AG16" i="2" s="1"/>
  <c r="AF13" i="2"/>
  <c r="AF16" i="2" s="1"/>
  <c r="AF12" i="2"/>
  <c r="AF15" i="2" s="1"/>
  <c r="AE13" i="2"/>
  <c r="AE16" i="2" s="1"/>
  <c r="AE12" i="2"/>
  <c r="AE15" i="2" s="1"/>
  <c r="AD13" i="2"/>
  <c r="AD16" i="2" s="1"/>
  <c r="AD12" i="2"/>
  <c r="AD15" i="2" s="1"/>
  <c r="R116" i="3"/>
</calcChain>
</file>

<file path=xl/sharedStrings.xml><?xml version="1.0" encoding="utf-8"?>
<sst xmlns="http://schemas.openxmlformats.org/spreadsheetml/2006/main" count="1223" uniqueCount="918">
  <si>
    <t xml:space="preserve">All Intra Main10 </t>
  </si>
  <si>
    <t>Y</t>
  </si>
  <si>
    <t>U</t>
  </si>
  <si>
    <t>V</t>
  </si>
  <si>
    <t>EncT</t>
  </si>
  <si>
    <t>DecT</t>
  </si>
  <si>
    <t>Class A1</t>
  </si>
  <si>
    <t>Class A2</t>
  </si>
  <si>
    <t>Class B</t>
  </si>
  <si>
    <t>Class C</t>
  </si>
  <si>
    <t>Class E</t>
  </si>
  <si>
    <t xml:space="preserve">Overall </t>
  </si>
  <si>
    <t>Class D</t>
  </si>
  <si>
    <t>Class F</t>
  </si>
  <si>
    <t xml:space="preserve">Random access Main10 </t>
  </si>
  <si>
    <t>Overall</t>
  </si>
  <si>
    <t xml:space="preserve">Low delay B Main10 </t>
  </si>
  <si>
    <t xml:space="preserve">Low delay P Main10 </t>
  </si>
  <si>
    <t>Select the coding condition and sequence from the dropbox below</t>
  </si>
  <si>
    <t>Line 1 - Reference</t>
  </si>
  <si>
    <t>Line 2 - Test</t>
  </si>
  <si>
    <t>RA-10</t>
  </si>
  <si>
    <t>Tango2</t>
  </si>
  <si>
    <t>kbps</t>
  </si>
  <si>
    <t>Y psnr</t>
  </si>
  <si>
    <t>U psnr</t>
  </si>
  <si>
    <t>V psnr</t>
  </si>
  <si>
    <t>AI-10</t>
  </si>
  <si>
    <t>FoodMarket4</t>
  </si>
  <si>
    <t>LDB-10</t>
  </si>
  <si>
    <t>Campfire</t>
  </si>
  <si>
    <t>LDP-10</t>
  </si>
  <si>
    <t>CatRobot1</t>
  </si>
  <si>
    <t>DaylightRoad2</t>
  </si>
  <si>
    <t>ParkRunning3</t>
  </si>
  <si>
    <t>MarketPlace</t>
  </si>
  <si>
    <t>RitualDance</t>
  </si>
  <si>
    <t>Cactus</t>
  </si>
  <si>
    <t>rate</t>
  </si>
  <si>
    <t>y</t>
  </si>
  <si>
    <t>u</t>
  </si>
  <si>
    <t>v</t>
  </si>
  <si>
    <t>BasketballDrive</t>
  </si>
  <si>
    <t>BQTerrace</t>
  </si>
  <si>
    <t>BasketballDrill</t>
  </si>
  <si>
    <t>BQMall</t>
  </si>
  <si>
    <t>PartySceneC</t>
  </si>
  <si>
    <t>RaceHorsesC</t>
  </si>
  <si>
    <t>BasketballPass</t>
  </si>
  <si>
    <t>BQSquare</t>
  </si>
  <si>
    <t>BlowingBubbles</t>
  </si>
  <si>
    <t>RaceHorses</t>
  </si>
  <si>
    <t>FourPeople</t>
  </si>
  <si>
    <t>Johnny</t>
  </si>
  <si>
    <t>KristenAndSara</t>
  </si>
  <si>
    <t>BasketballDrillText</t>
  </si>
  <si>
    <t>ArenaOfValor</t>
  </si>
  <si>
    <t>SlideEditing</t>
  </si>
  <si>
    <t>SlideShow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</si>
  <si>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</si>
  <si>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</si>
  <si>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</si>
  <si>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</si>
  <si>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</si>
  <si>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</si>
  <si>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</si>
  <si>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</si>
  <si>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EncR</t>
  </si>
  <si>
    <t>DecR</t>
  </si>
  <si>
    <t>4K</t>
  </si>
  <si>
    <t>1080p</t>
  </si>
  <si>
    <t>WVGA</t>
  </si>
  <si>
    <t>PartyScene</t>
  </si>
  <si>
    <t>WQVGA</t>
  </si>
  <si>
    <t>ClassE</t>
  </si>
  <si>
    <t>720p</t>
  </si>
  <si>
    <t>ClassF</t>
  </si>
  <si>
    <t>All</t>
  </si>
  <si>
    <t>Time geomean</t>
  </si>
  <si>
    <t>Time ratio</t>
  </si>
  <si>
    <t>Time sum (hours)</t>
  </si>
  <si>
    <t>Enc</t>
  </si>
  <si>
    <t>Dec</t>
  </si>
  <si>
    <t>anchor2_AI_classA1_01Tango2_22</t>
  </si>
  <si>
    <t>anchor2_AI_classA1_01Tango2_27</t>
  </si>
  <si>
    <t>anchor2_AI_classA1_01Tango2_32</t>
  </si>
  <si>
    <t>anchor2_AI_classA1_01Tango2_37</t>
  </si>
  <si>
    <t>anchor2_AI_classA1_02FoodMarket4_22</t>
  </si>
  <si>
    <t>anchor2_AI_classA1_02FoodMarket4_27</t>
  </si>
  <si>
    <t>anchor2_AI_classA1_02FoodMarket4_32</t>
  </si>
  <si>
    <t>anchor2_AI_classA1_02FoodMarket4_37</t>
  </si>
  <si>
    <t>anchor2_AI_classA1_03CampfireParty2_22</t>
  </si>
  <si>
    <t>anchor2_AI_classA1_03CampfireParty2_27</t>
  </si>
  <si>
    <t>anchor2_AI_classA1_03CampfireParty2_32</t>
  </si>
  <si>
    <t>anchor2_AI_classA1_03CampfireParty2_37</t>
  </si>
  <si>
    <t>anchor2_AI_classA2_01CatRobot1_22</t>
  </si>
  <si>
    <t>anchor2_AI_classA2_01CatRobot1_27</t>
  </si>
  <si>
    <t>anchor2_AI_classA2_01CatRobot1_32</t>
  </si>
  <si>
    <t>anchor2_AI_classA2_01CatRobot1_37</t>
  </si>
  <si>
    <t>anchor2_AI_classA2_02DaylightRoad2_22</t>
  </si>
  <si>
    <t>anchor2_AI_classA2_02DaylightRoad2_27</t>
  </si>
  <si>
    <t>anchor2_AI_classA2_02DaylightRoad2_32</t>
  </si>
  <si>
    <t>anchor2_AI_classA2_02DaylightRoad2_37</t>
  </si>
  <si>
    <t>anchor2_AI_classA2_03ParkRunning3_22</t>
  </si>
  <si>
    <t>anchor2_AI_classA2_03ParkRunning3_27</t>
  </si>
  <si>
    <t>anchor2_AI_classA2_03ParkRunning3_32</t>
  </si>
  <si>
    <t>anchor2_AI_classA2_03ParkRunning3_37</t>
  </si>
  <si>
    <t>anchor2_AI_classB_01MarketPlace_22</t>
  </si>
  <si>
    <t>anchor2_AI_classB_01MarketPlace_27</t>
  </si>
  <si>
    <t>anchor2_AI_classB_01MarketPlace_32</t>
  </si>
  <si>
    <t>anchor2_AI_classB_01MarketPlace_37</t>
  </si>
  <si>
    <t>anchor2_AI_classB_02RitualDance_22</t>
  </si>
  <si>
    <t>anchor2_AI_classB_02RitualDance_27</t>
  </si>
  <si>
    <t>anchor2_AI_classB_02RitualDance_32</t>
  </si>
  <si>
    <t>anchor2_AI_classB_02RitualDance_37</t>
  </si>
  <si>
    <t>anchor2_AI_classB_03Cactus_22</t>
  </si>
  <si>
    <t>anchor2_AI_classB_03Cactus_27</t>
  </si>
  <si>
    <t>anchor2_AI_classB_03Cactus_32</t>
  </si>
  <si>
    <t>anchor2_AI_classB_03Cactus_37</t>
  </si>
  <si>
    <t>anchor2_AI_classB_04BasketballDrive_22</t>
  </si>
  <si>
    <t>anchor2_AI_classB_04BasketballDrive_27</t>
  </si>
  <si>
    <t>anchor2_AI_classB_04BasketballDrive_32</t>
  </si>
  <si>
    <t>anchor2_AI_classB_04BasketballDrive_37</t>
  </si>
  <si>
    <t>anchor2_AI_classB_05BQTerrace_22</t>
  </si>
  <si>
    <t>anchor2_AI_classB_05BQTerrace_27</t>
  </si>
  <si>
    <t>anchor2_AI_classB_05BQTerrace_32</t>
  </si>
  <si>
    <t>anchor2_AI_classB_05BQTerrace_37</t>
  </si>
  <si>
    <t>anchor2_AI_classC_01BasketballDrill_22</t>
  </si>
  <si>
    <t>anchor2_AI_classC_01BasketballDrill_27</t>
  </si>
  <si>
    <t>anchor2_AI_classC_01BasketballDrill_32</t>
  </si>
  <si>
    <t>anchor2_AI_classC_01BasketballDrill_37</t>
  </si>
  <si>
    <t>anchor2_AI_classC_02BQMall_22</t>
  </si>
  <si>
    <t>anchor2_AI_classC_02BQMall_27</t>
  </si>
  <si>
    <t>anchor2_AI_classC_02BQMall_32</t>
  </si>
  <si>
    <t>anchor2_AI_classC_02BQMall_37</t>
  </si>
  <si>
    <t>anchor2_AI_classC_03PartyScene_22</t>
  </si>
  <si>
    <t>anchor2_AI_classC_03PartyScene_27</t>
  </si>
  <si>
    <t>anchor2_AI_classC_03PartyScene_32</t>
  </si>
  <si>
    <t>anchor2_AI_classC_03PartyScene_37</t>
  </si>
  <si>
    <t>anchor2_AI_classC_04RaceHorsesC_22</t>
  </si>
  <si>
    <t>anchor2_AI_classC_04RaceHorsesC_27</t>
  </si>
  <si>
    <t>anchor2_AI_classC_04RaceHorsesC_32</t>
  </si>
  <si>
    <t>anchor2_AI_classC_04RaceHorsesC_37</t>
  </si>
  <si>
    <t>anchor2_AI_classD_01BasketballPass_22</t>
  </si>
  <si>
    <t>anchor2_AI_classD_01BasketballPass_27</t>
  </si>
  <si>
    <t>anchor2_AI_classD_01BasketballPass_32</t>
  </si>
  <si>
    <t>anchor2_AI_classD_01BasketballPass_37</t>
  </si>
  <si>
    <t>anchor2_AI_classD_02BQSquare_22</t>
  </si>
  <si>
    <t>anchor2_AI_classD_02BQSquare_27</t>
  </si>
  <si>
    <t>anchor2_AI_classD_02BQSquare_32</t>
  </si>
  <si>
    <t>anchor2_AI_classD_02BQSquare_37</t>
  </si>
  <si>
    <t>anchor2_AI_classD_03BlowingBubbles_22</t>
  </si>
  <si>
    <t>anchor2_AI_classD_03BlowingBubbles_27</t>
  </si>
  <si>
    <t>anchor2_AI_classD_03BlowingBubbles_32</t>
  </si>
  <si>
    <t>anchor2_AI_classD_03BlowingBubbles_37</t>
  </si>
  <si>
    <t>anchor2_AI_classD_04RaceHorses_22</t>
  </si>
  <si>
    <t>anchor2_AI_classD_04RaceHorses_27</t>
  </si>
  <si>
    <t>anchor2_AI_classD_04RaceHorses_32</t>
  </si>
  <si>
    <t>anchor2_AI_classD_04RaceHorses_37</t>
  </si>
  <si>
    <t>anchor2_AI_classE_01FourPeople_22</t>
  </si>
  <si>
    <t>anchor2_AI_classE_01FourPeople_27</t>
  </si>
  <si>
    <t>anchor2_AI_classE_01FourPeople_32</t>
  </si>
  <si>
    <t>anchor2_AI_classE_01FourPeople_37</t>
  </si>
  <si>
    <t>anchor2_AI_classE_02Johnny_22</t>
  </si>
  <si>
    <t>anchor2_AI_classE_02Johnny_27</t>
  </si>
  <si>
    <t>anchor2_AI_classE_02Johnny_32</t>
  </si>
  <si>
    <t>anchor2_AI_classE_02Johnny_37</t>
  </si>
  <si>
    <t>anchor2_AI_classE_03KristenAndSara_22</t>
  </si>
  <si>
    <t>anchor2_AI_classE_03KristenAndSara_27</t>
  </si>
  <si>
    <t>anchor2_AI_classE_03KristenAndSara_32</t>
  </si>
  <si>
    <t>anchor2_AI_classE_03KristenAndSara_37</t>
  </si>
  <si>
    <t>anchor2_AI_classF_01BasketballDrillText_22</t>
  </si>
  <si>
    <t>anchor2_AI_classF_01BasketballDrillText_27</t>
  </si>
  <si>
    <t>anchor2_AI_classF_01BasketballDrillText_32</t>
  </si>
  <si>
    <t>anchor2_AI_classF_01BasketballDrillText_37</t>
  </si>
  <si>
    <t>anchor2_AI_classF_02ArenaOfValor_22</t>
  </si>
  <si>
    <t>anchor2_AI_classF_02ArenaOfValor_27</t>
  </si>
  <si>
    <t>anchor2_AI_classF_02ArenaOfValor_32</t>
  </si>
  <si>
    <t>anchor2_AI_classF_02ArenaOfValor_37</t>
  </si>
  <si>
    <t>anchor2_AI_classF_03SlideEditing_22</t>
  </si>
  <si>
    <t>anchor2_AI_classF_03SlideEditing_27</t>
  </si>
  <si>
    <t>anchor2_AI_classF_03SlideEditing_32</t>
  </si>
  <si>
    <t>anchor2_AI_classF_03SlideEditing_37</t>
  </si>
  <si>
    <t>anchor2_AI_classF_04SlideShow_22</t>
  </si>
  <si>
    <t>anchor2_AI_classF_04SlideShow_27</t>
  </si>
  <si>
    <t>anchor2_AI_classF_04SlideShow_32</t>
  </si>
  <si>
    <t>anchor2_AI_classF_04SlideShow_37</t>
  </si>
  <si>
    <t>anchor2_RA_classA1_01Tango2_22</t>
  </si>
  <si>
    <t>anchor2_RA_classA1_01Tango2_27</t>
  </si>
  <si>
    <t>anchor2_RA_classA1_01Tango2_32</t>
  </si>
  <si>
    <t>anchor2_RA_classA1_01Tango2_37</t>
  </si>
  <si>
    <t>anchor2_RA_classA1_02FoodMarket4_22</t>
  </si>
  <si>
    <t>anchor2_RA_classA1_02FoodMarket4_27</t>
  </si>
  <si>
    <t>anchor2_RA_classA1_02FoodMarket4_32</t>
  </si>
  <si>
    <t>anchor2_RA_classA1_02FoodMarket4_37</t>
  </si>
  <si>
    <t>anchor2_RA_classA1_03CampfireParty2_22</t>
  </si>
  <si>
    <t>anchor2_RA_classA1_03CampfireParty2_27</t>
  </si>
  <si>
    <t>anchor2_RA_classA1_03CampfireParty2_32</t>
  </si>
  <si>
    <t>anchor2_RA_classA1_03CampfireParty2_37</t>
  </si>
  <si>
    <t>anchor2_RA_classA2_01CatRobot1_22</t>
  </si>
  <si>
    <t>anchor2_RA_classA2_01CatRobot1_27</t>
  </si>
  <si>
    <t>anchor2_RA_classA2_01CatRobot1_32</t>
  </si>
  <si>
    <t>anchor2_RA_classA2_01CatRobot1_37</t>
  </si>
  <si>
    <t>anchor2_RA_classA2_02DaylightRoad2_22</t>
  </si>
  <si>
    <t>anchor2_RA_classA2_02DaylightRoad2_27</t>
  </si>
  <si>
    <t>anchor2_RA_classA2_02DaylightRoad2_32</t>
  </si>
  <si>
    <t>anchor2_RA_classA2_02DaylightRoad2_37</t>
  </si>
  <si>
    <t>anchor2_RA_classA2_03ParkRunning3_22</t>
  </si>
  <si>
    <t>anchor2_RA_classA2_03ParkRunning3_27</t>
  </si>
  <si>
    <t>anchor2_RA_classA2_03ParkRunning3_32</t>
  </si>
  <si>
    <t>anchor2_RA_classA2_03ParkRunning3_37</t>
  </si>
  <si>
    <t>anchor2_RA_classB_01MarketPlace_22</t>
  </si>
  <si>
    <t>anchor2_RA_classB_01MarketPlace_27</t>
  </si>
  <si>
    <t>anchor2_RA_classB_01MarketPlace_32</t>
  </si>
  <si>
    <t>anchor2_RA_classB_01MarketPlace_37</t>
  </si>
  <si>
    <t>anchor2_RA_classB_02RitualDance_22</t>
  </si>
  <si>
    <t>anchor2_RA_classB_02RitualDance_27</t>
  </si>
  <si>
    <t>anchor2_RA_classB_02RitualDance_32</t>
  </si>
  <si>
    <t>anchor2_RA_classB_02RitualDance_37</t>
  </si>
  <si>
    <t>anchor2_RA_classB_03Cactus_22</t>
  </si>
  <si>
    <t>anchor2_RA_classB_03Cactus_27</t>
  </si>
  <si>
    <t>anchor2_RA_classB_03Cactus_32</t>
  </si>
  <si>
    <t>anchor2_RA_classB_03Cactus_37</t>
  </si>
  <si>
    <t>anchor2_RA_classB_04BasketballDrive_22</t>
  </si>
  <si>
    <t>anchor2_RA_classB_04BasketballDrive_27</t>
  </si>
  <si>
    <t>anchor2_RA_classB_04BasketballDrive_32</t>
  </si>
  <si>
    <t>anchor2_RA_classB_04BasketballDrive_37</t>
  </si>
  <si>
    <t>anchor2_RA_classB_05BQTerrace_22</t>
  </si>
  <si>
    <t>anchor2_RA_classB_05BQTerrace_27</t>
  </si>
  <si>
    <t>anchor2_RA_classB_05BQTerrace_32</t>
  </si>
  <si>
    <t>anchor2_RA_classB_05BQTerrace_37</t>
  </si>
  <si>
    <t>anchor2_RA_classC_01BasketballDrill_22</t>
  </si>
  <si>
    <t>anchor2_RA_classC_01BasketballDrill_27</t>
  </si>
  <si>
    <t>anchor2_RA_classC_01BasketballDrill_32</t>
  </si>
  <si>
    <t>anchor2_RA_classC_01BasketballDrill_37</t>
  </si>
  <si>
    <t>anchor2_RA_classC_02BQMall_22</t>
  </si>
  <si>
    <t>anchor2_RA_classC_02BQMall_27</t>
  </si>
  <si>
    <t>anchor2_RA_classC_02BQMall_32</t>
  </si>
  <si>
    <t>anchor2_RA_classC_02BQMall_37</t>
  </si>
  <si>
    <t>anchor2_RA_classC_03PartyScene_22</t>
  </si>
  <si>
    <t>anchor2_RA_classC_03PartyScene_27</t>
  </si>
  <si>
    <t>anchor2_RA_classC_03PartyScene_32</t>
  </si>
  <si>
    <t>anchor2_RA_classC_03PartyScene_37</t>
  </si>
  <si>
    <t>anchor2_RA_classC_04RaceHorsesC_22</t>
  </si>
  <si>
    <t>anchor2_RA_classC_04RaceHorsesC_27</t>
  </si>
  <si>
    <t>anchor2_RA_classC_04RaceHorsesC_32</t>
  </si>
  <si>
    <t>anchor2_RA_classC_04RaceHorsesC_37</t>
  </si>
  <si>
    <t>anchor2_RA_classD_01BasketballPass_22</t>
  </si>
  <si>
    <t>anchor2_RA_classD_01BasketballPass_27</t>
  </si>
  <si>
    <t>anchor2_RA_classD_01BasketballPass_32</t>
  </si>
  <si>
    <t>anchor2_RA_classD_01BasketballPass_37</t>
  </si>
  <si>
    <t>anchor2_RA_classD_02BQSquare_22</t>
  </si>
  <si>
    <t>anchor2_RA_classD_02BQSquare_27</t>
  </si>
  <si>
    <t>anchor2_RA_classD_02BQSquare_32</t>
  </si>
  <si>
    <t>anchor2_RA_classD_02BQSquare_37</t>
  </si>
  <si>
    <t>anchor2_RA_classD_03BlowingBubbles_22</t>
  </si>
  <si>
    <t>anchor2_RA_classD_03BlowingBubbles_27</t>
  </si>
  <si>
    <t>anchor2_RA_classD_03BlowingBubbles_32</t>
  </si>
  <si>
    <t>anchor2_RA_classD_03BlowingBubbles_37</t>
  </si>
  <si>
    <t>anchor2_RA_classD_04RaceHorses_22</t>
  </si>
  <si>
    <t>anchor2_RA_classD_04RaceHorses_27</t>
  </si>
  <si>
    <t>anchor2_RA_classD_04RaceHorses_32</t>
  </si>
  <si>
    <t>anchor2_RA_classD_04RaceHorses_37</t>
  </si>
  <si>
    <t>anchor2_RA_classE_01FourPeople_22</t>
  </si>
  <si>
    <t>anchor2_RA_classE_01FourPeople_27</t>
  </si>
  <si>
    <t>anchor2_RA_classE_01FourPeople_32</t>
  </si>
  <si>
    <t>anchor2_RA_classE_01FourPeople_37</t>
  </si>
  <si>
    <t>anchor2_RA_classE_02Johnny_22</t>
  </si>
  <si>
    <t>anchor2_RA_classE_02Johnny_27</t>
  </si>
  <si>
    <t>anchor2_RA_classE_02Johnny_32</t>
  </si>
  <si>
    <t>anchor2_RA_classE_02Johnny_37</t>
  </si>
  <si>
    <t>anchor2_RA_classE_03KristenAndSara_22</t>
  </si>
  <si>
    <t>anchor2_RA_classE_03KristenAndSara_27</t>
  </si>
  <si>
    <t>anchor2_RA_classE_03KristenAndSara_32</t>
  </si>
  <si>
    <t>anchor2_RA_classE_03KristenAndSara_37</t>
  </si>
  <si>
    <t>anchor2_RA_classF_01BasketballDrillText_22</t>
  </si>
  <si>
    <t>anchor2_RA_classF_01BasketballDrillText_27</t>
  </si>
  <si>
    <t>anchor2_RA_classF_01BasketballDrillText_32</t>
  </si>
  <si>
    <t>anchor2_RA_classF_01BasketballDrillText_37</t>
  </si>
  <si>
    <t>anchor2_RA_classF_02ArenaOfValor_22</t>
  </si>
  <si>
    <t>anchor2_RA_classF_02ArenaOfValor_27</t>
  </si>
  <si>
    <t>anchor2_RA_classF_02ArenaOfValor_32</t>
  </si>
  <si>
    <t>anchor2_RA_classF_02ArenaOfValor_37</t>
  </si>
  <si>
    <t>anchor2_RA_classF_03SlideEditing_22</t>
  </si>
  <si>
    <t>anchor2_RA_classF_03SlideEditing_27</t>
  </si>
  <si>
    <t>anchor2_RA_classF_03SlideEditing_32</t>
  </si>
  <si>
    <t>anchor2_RA_classF_03SlideEditing_37</t>
  </si>
  <si>
    <t>anchor2_RA_classF_04SlideShow_22</t>
  </si>
  <si>
    <t>anchor2_RA_classF_04SlideShow_27</t>
  </si>
  <si>
    <t>anchor2_RA_classF_04SlideShow_32</t>
  </si>
  <si>
    <t>anchor2_RA_classF_04SlideShow_37</t>
  </si>
  <si>
    <t>anchor2_LDB_classA1_01Tango2_22</t>
  </si>
  <si>
    <t>anchor2_LDB_classA1_01Tango2_27</t>
  </si>
  <si>
    <t>anchor2_LDB_classA1_01Tango2_32</t>
  </si>
  <si>
    <t>anchor2_LDB_classA1_01Tango2_37</t>
  </si>
  <si>
    <t>anchor2_LDB_classA1_02FoodMarket4_22</t>
  </si>
  <si>
    <t>anchor2_LDB_classA1_02FoodMarket4_27</t>
  </si>
  <si>
    <t>anchor2_LDB_classA1_02FoodMarket4_32</t>
  </si>
  <si>
    <t>anchor2_LDB_classA1_02FoodMarket4_37</t>
  </si>
  <si>
    <t>anchor2_LDB_classA1_03CampfireParty2_22</t>
  </si>
  <si>
    <t>anchor2_LDB_classA1_03CampfireParty2_27</t>
  </si>
  <si>
    <t>anchor2_LDB_classA1_03CampfireParty2_32</t>
  </si>
  <si>
    <t>anchor2_LDB_classA1_03CampfireParty2_37</t>
  </si>
  <si>
    <t>anchor2_LDB_classA2_01CatRobot1_22</t>
  </si>
  <si>
    <t>anchor2_LDB_classA2_01CatRobot1_27</t>
  </si>
  <si>
    <t>anchor2_LDB_classA2_01CatRobot1_32</t>
  </si>
  <si>
    <t>anchor2_LDB_classA2_01CatRobot1_37</t>
  </si>
  <si>
    <t>anchor2_LDB_classA2_02DaylightRoad2_22</t>
  </si>
  <si>
    <t>anchor2_LDB_classA2_02DaylightRoad2_27</t>
  </si>
  <si>
    <t>anchor2_LDB_classA2_02DaylightRoad2_32</t>
  </si>
  <si>
    <t>anchor2_LDB_classA2_02DaylightRoad2_37</t>
  </si>
  <si>
    <t>anchor2_LDB_classA2_03ParkRunning3_22</t>
  </si>
  <si>
    <t>anchor2_LDB_classA2_03ParkRunning3_27</t>
  </si>
  <si>
    <t>anchor2_LDB_classA2_03ParkRunning3_32</t>
  </si>
  <si>
    <t>anchor2_LDB_classA2_03ParkRunning3_37</t>
  </si>
  <si>
    <t>anchor2_LDB_classB_01MarketPlace_22</t>
  </si>
  <si>
    <t>anchor2_LDB_classB_01MarketPlace_27</t>
  </si>
  <si>
    <t>anchor2_LDB_classB_01MarketPlace_32</t>
  </si>
  <si>
    <t>anchor2_LDB_classB_01MarketPlace_37</t>
  </si>
  <si>
    <t>anchor2_LDB_classB_02RitualDance_22</t>
  </si>
  <si>
    <t>anchor2_LDB_classB_02RitualDance_32</t>
  </si>
  <si>
    <t>anchor2_LDB_classB_02RitualDance_37</t>
  </si>
  <si>
    <t>anchor2_LDB_classB_03Cactus_22</t>
  </si>
  <si>
    <t>anchor2_LDB_classB_03Cactus_27</t>
  </si>
  <si>
    <t>anchor2_LDB_classB_03Cactus_32</t>
  </si>
  <si>
    <t>anchor2_LDB_classB_03Cactus_37</t>
  </si>
  <si>
    <t>anchor2_LDB_classB_04BasketballDrive_22</t>
  </si>
  <si>
    <t>anchor2_LDB_classB_04BasketballDrive_27</t>
  </si>
  <si>
    <t>anchor2_LDB_classB_04BasketballDrive_32</t>
  </si>
  <si>
    <t>anchor2_LDB_classB_04BasketballDrive_37</t>
  </si>
  <si>
    <t>anchor2_LDB_classB_05BQTerrace_22</t>
  </si>
  <si>
    <t>anchor2_LDB_classB_05BQTerrace_27</t>
  </si>
  <si>
    <t>anchor2_LDB_classB_05BQTerrace_32</t>
  </si>
  <si>
    <t>anchor2_LDB_classB_05BQTerrace_37</t>
  </si>
  <si>
    <t>anchor2_LDB_classC_01BasketballDrill_22</t>
  </si>
  <si>
    <t>anchor2_LDB_classC_01BasketballDrill_27</t>
  </si>
  <si>
    <t>anchor2_LDB_classC_01BasketballDrill_32</t>
  </si>
  <si>
    <t>anchor2_LDB_classC_01BasketballDrill_37</t>
  </si>
  <si>
    <t>anchor2_LDB_classC_02BQMall_22</t>
  </si>
  <si>
    <t>anchor2_LDB_classC_02BQMall_27</t>
  </si>
  <si>
    <t>anchor2_LDB_classC_02BQMall_32</t>
  </si>
  <si>
    <t>anchor2_LDB_classC_02BQMall_37</t>
  </si>
  <si>
    <t>anchor2_LDB_classC_03PartyScene_22</t>
  </si>
  <si>
    <t>anchor2_LDB_classC_03PartyScene_27</t>
  </si>
  <si>
    <t>anchor2_LDB_classC_03PartyScene_32</t>
  </si>
  <si>
    <t>anchor2_LDB_classC_03PartyScene_37</t>
  </si>
  <si>
    <t>anchor2_LDB_classC_04RaceHorsesC_22</t>
  </si>
  <si>
    <t>anchor2_LDB_classC_04RaceHorsesC_27</t>
  </si>
  <si>
    <t>anchor2_LDB_classC_04RaceHorsesC_32</t>
  </si>
  <si>
    <t>anchor2_LDB_classC_04RaceHorsesC_37</t>
  </si>
  <si>
    <t>anchor2_LDB_classD_01BasketballPass_22</t>
  </si>
  <si>
    <t>anchor2_LDB_classD_01BasketballPass_27</t>
  </si>
  <si>
    <t>anchor2_LDB_classD_01BasketballPass_32</t>
  </si>
  <si>
    <t>anchor2_LDB_classD_01BasketballPass_37</t>
  </si>
  <si>
    <t>anchor2_LDB_classD_02BQSquare_22</t>
  </si>
  <si>
    <t>anchor2_LDB_classD_02BQSquare_27</t>
  </si>
  <si>
    <t>anchor2_LDB_classD_02BQSquare_32</t>
  </si>
  <si>
    <t>anchor2_LDB_classD_02BQSquare_37</t>
  </si>
  <si>
    <t>anchor2_LDB_classD_03BlowingBubbles_22</t>
  </si>
  <si>
    <t>anchor2_LDB_classD_03BlowingBubbles_27</t>
  </si>
  <si>
    <t>anchor2_LDB_classD_03BlowingBubbles_32</t>
  </si>
  <si>
    <t>anchor2_LDB_classD_03BlowingBubbles_37</t>
  </si>
  <si>
    <t>anchor2_LDB_classD_04RaceHorses_22</t>
  </si>
  <si>
    <t>anchor2_LDB_classD_04RaceHorses_27</t>
  </si>
  <si>
    <t>anchor2_LDB_classD_04RaceHorses_32</t>
  </si>
  <si>
    <t>anchor2_LDB_classD_04RaceHorses_37</t>
  </si>
  <si>
    <t>anchor2_LDB_classE_01FourPeople_22</t>
  </si>
  <si>
    <t>anchor2_LDB_classE_01FourPeople_27</t>
  </si>
  <si>
    <t>anchor2_LDB_classE_01FourPeople_32</t>
  </si>
  <si>
    <t>anchor2_LDB_classE_01FourPeople_37</t>
  </si>
  <si>
    <t>anchor2_LDB_classE_02Johnny_22</t>
  </si>
  <si>
    <t>anchor2_LDB_classE_02Johnny_27</t>
  </si>
  <si>
    <t>anchor2_LDB_classE_02Johnny_32</t>
  </si>
  <si>
    <t>anchor2_LDB_classE_02Johnny_37</t>
  </si>
  <si>
    <t>anchor2_LDB_classE_03KristenAndSara_22</t>
  </si>
  <si>
    <t>anchor2_LDB_classE_03KristenAndSara_27</t>
  </si>
  <si>
    <t>anchor2_LDB_classE_03KristenAndSara_32</t>
  </si>
  <si>
    <t>anchor2_LDB_classE_03KristenAndSara_37</t>
  </si>
  <si>
    <t>anchor2_LDB_classF_01BasketballDrillText_22</t>
  </si>
  <si>
    <t>anchor2_LDB_classF_01BasketballDrillText_27</t>
  </si>
  <si>
    <t>anchor2_LDB_classF_01BasketballDrillText_32</t>
  </si>
  <si>
    <t>anchor2_LDB_classF_01BasketballDrillText_37</t>
  </si>
  <si>
    <t>anchor2_LDB_classF_02ArenaOfValor_22</t>
  </si>
  <si>
    <t>anchor2_LDB_classF_02ArenaOfValor_27</t>
  </si>
  <si>
    <t>anchor2_LDB_classF_02ArenaOfValor_32</t>
  </si>
  <si>
    <t>anchor2_LDB_classF_02ArenaOfValor_37</t>
  </si>
  <si>
    <t>anchor2_LDB_classF_03SlideEditing_22</t>
  </si>
  <si>
    <t>anchor2_LDB_classF_03SlideEditing_27</t>
  </si>
  <si>
    <t>anchor2_LDB_classF_03SlideEditing_32</t>
  </si>
  <si>
    <t>anchor2_LDB_classF_03SlideEditing_37</t>
  </si>
  <si>
    <t>anchor2_LDB_classF_04SlideShow_22</t>
  </si>
  <si>
    <t>anchor2_LDB_classF_04SlideShow_27</t>
  </si>
  <si>
    <t>anchor2_LDB_classF_04SlideShow_32</t>
  </si>
  <si>
    <t>anchor2_LDB_classF_04SlideShow_37</t>
  </si>
  <si>
    <t>anchor2_LDP_classA1_01Tango2_22</t>
  </si>
  <si>
    <t>anchor2_LDP_classA1_01Tango2_27</t>
  </si>
  <si>
    <t>anchor2_LDP_classA1_01Tango2_32</t>
  </si>
  <si>
    <t>anchor2_LDP_classA1_01Tango2_37</t>
  </si>
  <si>
    <t>anchor2_LDP_classA1_02FoodMarket4_22</t>
  </si>
  <si>
    <t>anchor2_LDP_classA1_02FoodMarket4_27</t>
  </si>
  <si>
    <t>anchor2_LDP_classA1_02FoodMarket4_32</t>
  </si>
  <si>
    <t>anchor2_LDP_classA1_02FoodMarket4_37</t>
  </si>
  <si>
    <t>anchor2_LDP_classA1_03CampfireParty2_22</t>
  </si>
  <si>
    <t>anchor2_LDP_classA1_03CampfireParty2_27</t>
  </si>
  <si>
    <t>anchor2_LDP_classA1_03CampfireParty2_32</t>
  </si>
  <si>
    <t>anchor2_LDP_classA1_03CampfireParty2_37</t>
  </si>
  <si>
    <t>anchor2_LDP_classA2_01CatRobot1_22</t>
  </si>
  <si>
    <t>anchor2_LDP_classA2_01CatRobot1_27</t>
  </si>
  <si>
    <t>anchor2_LDP_classA2_01CatRobot1_32</t>
  </si>
  <si>
    <t>anchor2_LDP_classA2_01CatRobot1_37</t>
  </si>
  <si>
    <t>anchor2_LDP_classA2_02DaylightRoad2_22</t>
  </si>
  <si>
    <t>anchor2_LDP_classA2_02DaylightRoad2_27</t>
  </si>
  <si>
    <t>anchor2_LDP_classA2_02DaylightRoad2_32</t>
  </si>
  <si>
    <t>anchor2_LDP_classA2_02DaylightRoad2_37</t>
  </si>
  <si>
    <t>anchor2_LDP_classA2_03ParkRunning3_22</t>
  </si>
  <si>
    <t>anchor2_LDP_classA2_03ParkRunning3_27</t>
  </si>
  <si>
    <t>anchor2_LDP_classA2_03ParkRunning3_32</t>
  </si>
  <si>
    <t>anchor2_LDP_classA2_03ParkRunning3_37</t>
  </si>
  <si>
    <t>anchor2_LDP_classB_01MarketPlace_22</t>
  </si>
  <si>
    <t>anchor2_LDP_classB_01MarketPlace_27</t>
  </si>
  <si>
    <t>anchor2_LDP_classB_01MarketPlace_32</t>
  </si>
  <si>
    <t>anchor2_LDP_classB_01MarketPlace_37</t>
  </si>
  <si>
    <t>anchor2_LDP_classB_02RitualDance_22</t>
  </si>
  <si>
    <t>anchor2_LDP_classB_02RitualDance_27</t>
  </si>
  <si>
    <t>anchor2_LDP_classB_02RitualDance_32</t>
  </si>
  <si>
    <t>anchor2_LDP_classB_02RitualDance_37</t>
  </si>
  <si>
    <t>anchor2_LDP_classB_03Cactus_22</t>
  </si>
  <si>
    <t>anchor2_LDP_classB_03Cactus_27</t>
  </si>
  <si>
    <t>anchor2_LDP_classB_03Cactus_32</t>
  </si>
  <si>
    <t>anchor2_LDP_classB_03Cactus_37</t>
  </si>
  <si>
    <t>anchor2_LDP_classB_04BasketballDrive_22</t>
  </si>
  <si>
    <t>anchor2_LDP_classB_04BasketballDrive_27</t>
  </si>
  <si>
    <t>anchor2_LDP_classB_04BasketballDrive_32</t>
  </si>
  <si>
    <t>anchor2_LDP_classB_04BasketballDrive_37</t>
  </si>
  <si>
    <t>anchor2_LDP_classB_05BQTerrace_22</t>
  </si>
  <si>
    <t>anchor2_LDP_classB_05BQTerrace_27</t>
  </si>
  <si>
    <t>anchor2_LDP_classB_05BQTerrace_32</t>
  </si>
  <si>
    <t>anchor2_LDP_classB_05BQTerrace_37</t>
  </si>
  <si>
    <t>anchor2_LDP_classC_01BasketballDrill_22</t>
  </si>
  <si>
    <t>anchor2_LDP_classC_01BasketballDrill_27</t>
  </si>
  <si>
    <t>anchor2_LDP_classC_01BasketballDrill_32</t>
  </si>
  <si>
    <t>anchor2_LDP_classC_01BasketballDrill_37</t>
  </si>
  <si>
    <t>anchor2_LDP_classC_02BQMall_22</t>
  </si>
  <si>
    <t>anchor2_LDP_classC_02BQMall_27</t>
  </si>
  <si>
    <t>anchor2_LDP_classC_02BQMall_32</t>
  </si>
  <si>
    <t>anchor2_LDP_classC_02BQMall_37</t>
  </si>
  <si>
    <t>anchor2_LDP_classC_03PartyScene_22</t>
  </si>
  <si>
    <t>anchor2_LDP_classC_03PartyScene_27</t>
  </si>
  <si>
    <t>anchor2_LDP_classC_03PartyScene_32</t>
  </si>
  <si>
    <t>anchor2_LDP_classC_03PartyScene_37</t>
  </si>
  <si>
    <t>anchor2_LDP_classC_04RaceHorsesC_22</t>
  </si>
  <si>
    <t>anchor2_LDP_classC_04RaceHorsesC_27</t>
  </si>
  <si>
    <t>anchor2_LDP_classC_04RaceHorsesC_32</t>
  </si>
  <si>
    <t>anchor2_LDP_classC_04RaceHorsesC_37</t>
  </si>
  <si>
    <t>anchor2_LDP_classD_01BasketballPass_22</t>
  </si>
  <si>
    <t>anchor2_LDP_classD_01BasketballPass_27</t>
  </si>
  <si>
    <t>anchor2_LDP_classD_01BasketballPass_32</t>
  </si>
  <si>
    <t>anchor2_LDP_classD_01BasketballPass_37</t>
  </si>
  <si>
    <t>anchor2_LDP_classD_02BQSquare_22</t>
  </si>
  <si>
    <t>anchor2_LDP_classD_02BQSquare_27</t>
  </si>
  <si>
    <t>anchor2_LDP_classD_02BQSquare_32</t>
  </si>
  <si>
    <t>anchor2_LDP_classD_02BQSquare_37</t>
  </si>
  <si>
    <t>anchor2_LDP_classD_03BlowingBubbles_22</t>
  </si>
  <si>
    <t>anchor2_LDP_classD_03BlowingBubbles_27</t>
  </si>
  <si>
    <t>anchor2_LDP_classD_03BlowingBubbles_32</t>
  </si>
  <si>
    <t>anchor2_LDP_classD_03BlowingBubbles_37</t>
  </si>
  <si>
    <t>anchor2_LDP_classD_04RaceHorses_22</t>
  </si>
  <si>
    <t>anchor2_LDP_classD_04RaceHorses_27</t>
  </si>
  <si>
    <t>anchor2_LDP_classD_04RaceHorses_32</t>
  </si>
  <si>
    <t>anchor2_LDP_classD_04RaceHorses_37</t>
  </si>
  <si>
    <t>anchor2_LDP_classE_01FourPeople_22</t>
  </si>
  <si>
    <t>anchor2_LDP_classE_01FourPeople_27</t>
  </si>
  <si>
    <t>anchor2_LDP_classE_01FourPeople_32</t>
  </si>
  <si>
    <t>anchor2_LDP_classE_01FourPeople_37</t>
  </si>
  <si>
    <t>anchor2_LDP_classE_02Johnny_22</t>
  </si>
  <si>
    <t>anchor2_LDP_classE_02Johnny_27</t>
  </si>
  <si>
    <t>anchor2_LDP_classE_02Johnny_32</t>
  </si>
  <si>
    <t>anchor2_LDP_classE_02Johnny_37</t>
  </si>
  <si>
    <t>anchor2_LDP_classE_03KristenAndSara_22</t>
  </si>
  <si>
    <t>anchor2_LDP_classE_03KristenAndSara_27</t>
  </si>
  <si>
    <t>anchor2_LDP_classE_03KristenAndSara_32</t>
  </si>
  <si>
    <t>anchor2_LDP_classE_03KristenAndSara_37</t>
  </si>
  <si>
    <t>anchor2_LDP_classF_01BasketballDrillText_22</t>
  </si>
  <si>
    <t>anchor2_LDP_classF_01BasketballDrillText_27</t>
  </si>
  <si>
    <t>anchor2_LDP_classF_01BasketballDrillText_32</t>
  </si>
  <si>
    <t>anchor2_LDP_classF_01BasketballDrillText_37</t>
  </si>
  <si>
    <t>anchor2_LDP_classF_02ArenaOfValor_22</t>
  </si>
  <si>
    <t>anchor2_LDP_classF_02ArenaOfValor_27</t>
  </si>
  <si>
    <t>anchor2_LDP_classF_02ArenaOfValor_32</t>
  </si>
  <si>
    <t>anchor2_LDP_classF_02ArenaOfValor_37</t>
  </si>
  <si>
    <t>anchor2_LDP_classF_03SlideEditing_22</t>
  </si>
  <si>
    <t>anchor2_LDP_classF_03SlideEditing_27</t>
  </si>
  <si>
    <t>anchor2_LDP_classF_03SlideEditing_32</t>
  </si>
  <si>
    <t>anchor2_LDP_classF_03SlideEditing_37</t>
  </si>
  <si>
    <t>anchor2_LDP_classF_04SlideShow_22</t>
  </si>
  <si>
    <t>anchor2_LDP_classF_04SlideShow_27</t>
  </si>
  <si>
    <t>anchor2_LDP_classF_04SlideShow_32</t>
  </si>
  <si>
    <t>anchor2_LDP_classF_04SlideShow_37</t>
  </si>
  <si>
    <t>anchor_LDB_classB_02RitualDance_27</t>
  </si>
  <si>
    <t>CE3_AI_classA1_01Tango2_22</t>
  </si>
  <si>
    <t>CE3_AI_classA1_01Tango2_27</t>
  </si>
  <si>
    <t>CE3_AI_classA1_01Tango2_32</t>
  </si>
  <si>
    <t>CE3_AI_classA1_01Tango2_37</t>
  </si>
  <si>
    <t>CE3_AI_classA1_02FoodMarket4_22</t>
  </si>
  <si>
    <t>CE3_AI_classA1_02FoodMarket4_27</t>
  </si>
  <si>
    <t>CE3_AI_classA1_02FoodMarket4_32</t>
  </si>
  <si>
    <t>CE3_AI_classA1_02FoodMarket4_37</t>
  </si>
  <si>
    <t>CE3_AI_classA1_03CampfireParty2_22</t>
  </si>
  <si>
    <t>CE3_AI_classA1_03CampfireParty2_27</t>
  </si>
  <si>
    <t>CE3_AI_classA1_03CampfireParty2_32</t>
  </si>
  <si>
    <t>CE3_AI_classA1_03CampfireParty2_37</t>
  </si>
  <si>
    <t>CE3_AI_classA2_01CatRobot1_22</t>
  </si>
  <si>
    <t>CE3_AI_classA2_01CatRobot1_27</t>
  </si>
  <si>
    <t>CE3_AI_classA2_01CatRobot1_32</t>
  </si>
  <si>
    <t>CE3_AI_classA2_01CatRobot1_37</t>
  </si>
  <si>
    <t>CE3_AI_classA2_02DaylightRoad2_22</t>
  </si>
  <si>
    <t>CE3_AI_classA2_02DaylightRoad2_27</t>
  </si>
  <si>
    <t>CE3_AI_classA2_02DaylightRoad2_32</t>
  </si>
  <si>
    <t>CE3_AI_classA2_02DaylightRoad2_37</t>
  </si>
  <si>
    <t>CE3_AI_classA2_03ParkRunning3_22</t>
  </si>
  <si>
    <t>CE3_AI_classA2_03ParkRunning3_27</t>
  </si>
  <si>
    <t>CE3_AI_classA2_03ParkRunning3_32</t>
  </si>
  <si>
    <t>CE3_AI_classA2_03ParkRunning3_37</t>
  </si>
  <si>
    <t>CE3_AI_classB_01MarketPlace_22</t>
  </si>
  <si>
    <t>CE3_AI_classB_01MarketPlace_27</t>
  </si>
  <si>
    <t>CE3_AI_classB_01MarketPlace_32</t>
  </si>
  <si>
    <t>CE3_AI_classB_01MarketPlace_37</t>
  </si>
  <si>
    <t>CE3_AI_classB_02RitualDance_22</t>
  </si>
  <si>
    <t>CE3_AI_classB_02RitualDance_27</t>
  </si>
  <si>
    <t>CE3_AI_classB_02RitualDance_32</t>
  </si>
  <si>
    <t>CE3_AI_classB_02RitualDance_37</t>
  </si>
  <si>
    <t>CE3_AI_classB_03Cactus_22</t>
  </si>
  <si>
    <t>CE3_AI_classB_03Cactus_27</t>
  </si>
  <si>
    <t>CE3_AI_classB_03Cactus_32</t>
  </si>
  <si>
    <t>CE3_AI_classB_03Cactus_37</t>
  </si>
  <si>
    <t>CE3_AI_classB_04BasketballDrive_22</t>
  </si>
  <si>
    <t>CE3_AI_classB_04BasketballDrive_27</t>
  </si>
  <si>
    <t>CE3_AI_classB_04BasketballDrive_32</t>
  </si>
  <si>
    <t>CE3_AI_classB_04BasketballDrive_37</t>
  </si>
  <si>
    <t>CE3_AI_classB_05BQTerrace_22</t>
  </si>
  <si>
    <t>CE3_AI_classB_05BQTerrace_27</t>
  </si>
  <si>
    <t>CE3_AI_classB_05BQTerrace_32</t>
  </si>
  <si>
    <t>CE3_AI_classB_05BQTerrace_37</t>
  </si>
  <si>
    <t>CE3_AI_classC_01BasketballDrill_22</t>
  </si>
  <si>
    <t>CE3_AI_classC_01BasketballDrill_27</t>
  </si>
  <si>
    <t>CE3_AI_classC_01BasketballDrill_32</t>
  </si>
  <si>
    <t>CE3_AI_classC_01BasketballDrill_37</t>
  </si>
  <si>
    <t>CE3_AI_classC_02BQMall_22</t>
  </si>
  <si>
    <t>CE3_AI_classC_02BQMall_27</t>
  </si>
  <si>
    <t>CE3_AI_classC_02BQMall_32</t>
  </si>
  <si>
    <t>CE3_AI_classC_02BQMall_37</t>
  </si>
  <si>
    <t>CE3_AI_classC_03PartyScene_22</t>
  </si>
  <si>
    <t>CE3_AI_classC_03PartyScene_27</t>
  </si>
  <si>
    <t>CE3_AI_classC_03PartyScene_32</t>
  </si>
  <si>
    <t>CE3_AI_classC_03PartyScene_37</t>
  </si>
  <si>
    <t>CE3_AI_classC_04RaceHorsesC_22</t>
  </si>
  <si>
    <t>CE3_AI_classC_04RaceHorsesC_27</t>
  </si>
  <si>
    <t>CE3_AI_classC_04RaceHorsesC_32</t>
  </si>
  <si>
    <t>CE3_AI_classC_04RaceHorsesC_37</t>
  </si>
  <si>
    <t>CE3_AI_classD_01BasketballPass_22</t>
  </si>
  <si>
    <t>CE3_AI_classD_01BasketballPass_27</t>
  </si>
  <si>
    <t>CE3_AI_classD_01BasketballPass_32</t>
  </si>
  <si>
    <t>CE3_AI_classD_01BasketballPass_37</t>
  </si>
  <si>
    <t>CE3_AI_classD_02BQSquare_22</t>
  </si>
  <si>
    <t>CE3_AI_classD_02BQSquare_27</t>
  </si>
  <si>
    <t>CE3_AI_classD_02BQSquare_32</t>
  </si>
  <si>
    <t>CE3_AI_classD_02BQSquare_37</t>
  </si>
  <si>
    <t>CE3_AI_classD_03BlowingBubbles_22</t>
  </si>
  <si>
    <t>CE3_AI_classD_03BlowingBubbles_27</t>
  </si>
  <si>
    <t>CE3_AI_classD_03BlowingBubbles_32</t>
  </si>
  <si>
    <t>CE3_AI_classD_03BlowingBubbles_37</t>
  </si>
  <si>
    <t>CE3_AI_classD_04RaceHorses_22</t>
  </si>
  <si>
    <t>CE3_AI_classD_04RaceHorses_27</t>
  </si>
  <si>
    <t>CE3_AI_classD_04RaceHorses_32</t>
  </si>
  <si>
    <t>CE3_AI_classD_04RaceHorses_37</t>
  </si>
  <si>
    <t>CE3_AI_classE_01FourPeople_22</t>
  </si>
  <si>
    <t>CE3_AI_classE_01FourPeople_27</t>
  </si>
  <si>
    <t>CE3_AI_classE_01FourPeople_32</t>
  </si>
  <si>
    <t>CE3_AI_classE_01FourPeople_37</t>
  </si>
  <si>
    <t>CE3_AI_classE_02Johnny_22</t>
  </si>
  <si>
    <t>CE3_AI_classE_02Johnny_27</t>
  </si>
  <si>
    <t>CE3_AI_classE_02Johnny_32</t>
  </si>
  <si>
    <t>CE3_AI_classE_02Johnny_37</t>
  </si>
  <si>
    <t>CE3_AI_classE_03KristenAndSara_22</t>
  </si>
  <si>
    <t>CE3_AI_classE_03KristenAndSara_27</t>
  </si>
  <si>
    <t>CE3_AI_classE_03KristenAndSara_32</t>
  </si>
  <si>
    <t>CE3_AI_classE_03KristenAndSara_37</t>
  </si>
  <si>
    <t>CE3_AI_classF_01BasketballDrillText_22</t>
  </si>
  <si>
    <t>CE3_AI_classF_01BasketballDrillText_27</t>
  </si>
  <si>
    <t>CE3_AI_classF_01BasketballDrillText_32</t>
  </si>
  <si>
    <t>CE3_AI_classF_01BasketballDrillText_37</t>
  </si>
  <si>
    <t>CE3_AI_classF_02ArenaOfValor_22</t>
  </si>
  <si>
    <t>CE3_AI_classF_02ArenaOfValor_27</t>
  </si>
  <si>
    <t>CE3_AI_classF_02ArenaOfValor_32</t>
  </si>
  <si>
    <t>CE3_AI_classF_02ArenaOfValor_37</t>
  </si>
  <si>
    <t>CE3_AI_classF_03SlideEditing_22</t>
  </si>
  <si>
    <t>CE3_AI_classF_03SlideEditing_27</t>
  </si>
  <si>
    <t>CE3_AI_classF_03SlideEditing_32</t>
  </si>
  <si>
    <t>CE3_AI_classF_03SlideEditing_37</t>
  </si>
  <si>
    <t>CE3_AI_classF_04SlideShow_22</t>
  </si>
  <si>
    <t>CE3_AI_classF_04SlideShow_27</t>
  </si>
  <si>
    <t>CE3_AI_classF_04SlideShow_32</t>
  </si>
  <si>
    <t>CE3_AI_classF_04SlideShow_37</t>
  </si>
  <si>
    <t>CE3_RA_classA1_01Tango2_22</t>
  </si>
  <si>
    <t>CE3_RA_classA1_01Tango2_27</t>
  </si>
  <si>
    <t>CE3_RA_classA1_01Tango2_32</t>
  </si>
  <si>
    <t>CE3_RA_classA1_01Tango2_37</t>
  </si>
  <si>
    <t>CE3_RA_classA1_02FoodMarket4_22</t>
  </si>
  <si>
    <t>CE3_RA_classA1_02FoodMarket4_27</t>
  </si>
  <si>
    <t>CE3_RA_classA1_02FoodMarket4_32</t>
  </si>
  <si>
    <t>CE3_RA_classA1_02FoodMarket4_37</t>
  </si>
  <si>
    <t>CE3_RA_classA1_03CampfireParty2_22</t>
  </si>
  <si>
    <t>CE3_RA_classA1_03CampfireParty2_27</t>
  </si>
  <si>
    <t>CE3_RA_classA1_03CampfireParty2_32</t>
  </si>
  <si>
    <t>CE3_RA_classA1_03CampfireParty2_37</t>
  </si>
  <si>
    <t>CE3_RA_classA2_01CatRobot1_22</t>
  </si>
  <si>
    <t>CE3_RA_classA2_01CatRobot1_27</t>
  </si>
  <si>
    <t>CE3_RA_classA2_01CatRobot1_32</t>
  </si>
  <si>
    <t>CE3_RA_classA2_01CatRobot1_37</t>
  </si>
  <si>
    <t>CE3_RA_classA2_02DaylightRoad2_22</t>
  </si>
  <si>
    <t>CE3_RA_classA2_02DaylightRoad2_27</t>
  </si>
  <si>
    <t>CE3_RA_classA2_02DaylightRoad2_32</t>
  </si>
  <si>
    <t>CE3_RA_classA2_02DaylightRoad2_37</t>
  </si>
  <si>
    <t>CE3_RA_classA2_03ParkRunning3_22</t>
  </si>
  <si>
    <t>CE3_RA_classA2_03ParkRunning3_27</t>
  </si>
  <si>
    <t>CE3_RA_classA2_03ParkRunning3_32</t>
  </si>
  <si>
    <t>CE3_RA_classA2_03ParkRunning3_37</t>
  </si>
  <si>
    <t>CE3_RA_classB_01MarketPlace_22</t>
  </si>
  <si>
    <t>CE3_RA_classB_01MarketPlace_27</t>
  </si>
  <si>
    <t>CE3_RA_classB_01MarketPlace_32</t>
  </si>
  <si>
    <t>CE3_RA_classB_01MarketPlace_37</t>
  </si>
  <si>
    <t>CE3_RA_classB_02RitualDance_22</t>
  </si>
  <si>
    <t>CE3_RA_classB_02RitualDance_27</t>
  </si>
  <si>
    <t>CE3_RA_classB_02RitualDance_32</t>
  </si>
  <si>
    <t>CE3_RA_classB_02RitualDance_37</t>
  </si>
  <si>
    <t>CE3_RA_classB_03Cactus_22</t>
  </si>
  <si>
    <t>CE3_RA_classB_03Cactus_27</t>
  </si>
  <si>
    <t>CE3_RA_classB_03Cactus_32</t>
  </si>
  <si>
    <t>CE3_RA_classB_03Cactus_37</t>
  </si>
  <si>
    <t>CE3_RA_classB_04BasketballDrive_22</t>
  </si>
  <si>
    <t>CE3_RA_classB_04BasketballDrive_27</t>
  </si>
  <si>
    <t>CE3_RA_classB_04BasketballDrive_32</t>
  </si>
  <si>
    <t>CE3_RA_classB_04BasketballDrive_37</t>
  </si>
  <si>
    <t>CE3_RA_classB_05BQTerrace_22</t>
  </si>
  <si>
    <t>CE3_RA_classB_05BQTerrace_27</t>
  </si>
  <si>
    <t>CE3_RA_classB_05BQTerrace_32</t>
  </si>
  <si>
    <t>CE3_RA_classB_05BQTerrace_37</t>
  </si>
  <si>
    <t>CE3_RA_classC_01BasketballDrill_22</t>
  </si>
  <si>
    <t>CE3_RA_classC_01BasketballDrill_27</t>
  </si>
  <si>
    <t>CE3_RA_classC_01BasketballDrill_32</t>
  </si>
  <si>
    <t>CE3_RA_classC_01BasketballDrill_37</t>
  </si>
  <si>
    <t>CE3_RA_classC_02BQMall_22</t>
  </si>
  <si>
    <t>CE3_RA_classC_02BQMall_27</t>
  </si>
  <si>
    <t>CE3_RA_classC_02BQMall_32</t>
  </si>
  <si>
    <t>CE3_RA_classC_02BQMall_37</t>
  </si>
  <si>
    <t>CE3_RA_classC_03PartyScene_22</t>
  </si>
  <si>
    <t>CE3_RA_classC_03PartyScene_27</t>
  </si>
  <si>
    <t>CE3_RA_classC_03PartyScene_32</t>
  </si>
  <si>
    <t>CE3_RA_classC_03PartyScene_37</t>
  </si>
  <si>
    <t>CE3_RA_classC_04RaceHorsesC_22</t>
  </si>
  <si>
    <t>CE3_RA_classC_04RaceHorsesC_27</t>
  </si>
  <si>
    <t>CE3_RA_classC_04RaceHorsesC_32</t>
  </si>
  <si>
    <t>CE3_RA_classC_04RaceHorsesC_37</t>
  </si>
  <si>
    <t>CE3_RA_classD_01BasketballPass_22</t>
  </si>
  <si>
    <t>CE3_RA_classD_01BasketballPass_27</t>
  </si>
  <si>
    <t>CE3_RA_classD_01BasketballPass_32</t>
  </si>
  <si>
    <t>CE3_RA_classD_01BasketballPass_37</t>
  </si>
  <si>
    <t>CE3_RA_classD_02BQSquare_22</t>
  </si>
  <si>
    <t>CE3_RA_classD_02BQSquare_27</t>
  </si>
  <si>
    <t>CE3_RA_classD_02BQSquare_32</t>
  </si>
  <si>
    <t>CE3_RA_classD_02BQSquare_37</t>
  </si>
  <si>
    <t>CE3_RA_classD_03BlowingBubbles_22</t>
  </si>
  <si>
    <t>CE3_RA_classD_03BlowingBubbles_27</t>
  </si>
  <si>
    <t>CE3_RA_classD_03BlowingBubbles_32</t>
  </si>
  <si>
    <t>CE3_RA_classD_03BlowingBubbles_37</t>
  </si>
  <si>
    <t>CE3_RA_classD_04RaceHorses_22</t>
  </si>
  <si>
    <t>CE3_RA_classD_04RaceHorses_27</t>
  </si>
  <si>
    <t>CE3_RA_classD_04RaceHorses_32</t>
  </si>
  <si>
    <t>CE3_RA_classD_04RaceHorses_37</t>
  </si>
  <si>
    <t>CE3_RA_classE_01FourPeople_22</t>
  </si>
  <si>
    <t>CE3_RA_classE_01FourPeople_27</t>
  </si>
  <si>
    <t>CE3_RA_classE_01FourPeople_32</t>
  </si>
  <si>
    <t>CE3_RA_classE_01FourPeople_37</t>
  </si>
  <si>
    <t>CE3_RA_classE_02Johnny_22</t>
  </si>
  <si>
    <t>CE3_RA_classE_02Johnny_27</t>
  </si>
  <si>
    <t>CE3_RA_classE_02Johnny_32</t>
  </si>
  <si>
    <t>CE3_RA_classE_02Johnny_37</t>
  </si>
  <si>
    <t>CE3_RA_classE_03KristenAndSara_22</t>
  </si>
  <si>
    <t>CE3_RA_classE_03KristenAndSara_27</t>
  </si>
  <si>
    <t>CE3_RA_classE_03KristenAndSara_32</t>
  </si>
  <si>
    <t>CE3_RA_classE_03KristenAndSara_37</t>
  </si>
  <si>
    <t>CE3_RA_classF_01BasketballDrillText_22</t>
  </si>
  <si>
    <t>CE3_RA_classF_01BasketballDrillText_27</t>
  </si>
  <si>
    <t>CE3_RA_classF_01BasketballDrillText_32</t>
  </si>
  <si>
    <t>CE3_RA_classF_01BasketballDrillText_37</t>
  </si>
  <si>
    <t>CE3_RA_classF_02ArenaOfValor_22</t>
  </si>
  <si>
    <t>CE3_RA_classF_02ArenaOfValor_27</t>
  </si>
  <si>
    <t>CE3_RA_classF_02ArenaOfValor_32</t>
  </si>
  <si>
    <t>CE3_RA_classF_02ArenaOfValor_37</t>
  </si>
  <si>
    <t>CE3_RA_classF_03SlideEditing_22</t>
  </si>
  <si>
    <t>CE3_RA_classF_03SlideEditing_27</t>
  </si>
  <si>
    <t>CE3_RA_classF_03SlideEditing_32</t>
  </si>
  <si>
    <t>CE3_RA_classF_03SlideEditing_37</t>
  </si>
  <si>
    <t>CE3_RA_classF_04SlideShow_22</t>
  </si>
  <si>
    <t>CE3_RA_classF_04SlideShow_27</t>
  </si>
  <si>
    <t>CE3_RA_classF_04SlideShow_32</t>
  </si>
  <si>
    <t>CE3_RA_classF_04SlideShow_37</t>
  </si>
  <si>
    <t>CE3_LDB_classA1_01Tango2_22</t>
  </si>
  <si>
    <t>CE3_LDB_classA1_01Tango2_27</t>
  </si>
  <si>
    <t>CE3_LDB_classA1_01Tango2_32</t>
  </si>
  <si>
    <t>CE3_LDB_classA1_01Tango2_37</t>
  </si>
  <si>
    <t>CE3_LDB_classA1_02FoodMarket4_22</t>
  </si>
  <si>
    <t>CE3_LDB_classA1_02FoodMarket4_27</t>
  </si>
  <si>
    <t>CE3_LDB_classA1_02FoodMarket4_32</t>
  </si>
  <si>
    <t>CE3_LDB_classA1_02FoodMarket4_37</t>
  </si>
  <si>
    <t>CE3_LDB_classA1_03CampfireParty2_22</t>
  </si>
  <si>
    <t>CE3_LDB_classA1_03CampfireParty2_27</t>
  </si>
  <si>
    <t>CE3_LDB_classA1_03CampfireParty2_32</t>
  </si>
  <si>
    <t>CE3_LDB_classA1_03CampfireParty2_37</t>
  </si>
  <si>
    <t>CE3_LDB_classA2_01CatRobot1_22</t>
  </si>
  <si>
    <t>CE3_LDB_classA2_01CatRobot1_27</t>
  </si>
  <si>
    <t>CE3_LDB_classA2_01CatRobot1_32</t>
  </si>
  <si>
    <t>CE3_LDB_classA2_01CatRobot1_37</t>
  </si>
  <si>
    <t>CE3_LDB_classA2_02DaylightRoad2_22</t>
  </si>
  <si>
    <t>CE3_LDB_classA2_02DaylightRoad2_27</t>
  </si>
  <si>
    <t>CE3_LDB_classA2_02DaylightRoad2_32</t>
  </si>
  <si>
    <t>CE3_LDB_classA2_02DaylightRoad2_37</t>
  </si>
  <si>
    <t>CE3_LDB_classA2_03ParkRunning3_22</t>
  </si>
  <si>
    <t>CE3_LDB_classA2_03ParkRunning3_27</t>
  </si>
  <si>
    <t>CE3_LDB_classA2_03ParkRunning3_32</t>
  </si>
  <si>
    <t>CE3_LDB_classA2_03ParkRunning3_37</t>
  </si>
  <si>
    <t>CE3_LDB_classB_01MarketPlace_22</t>
  </si>
  <si>
    <t>CE3_LDB_classB_01MarketPlace_27</t>
  </si>
  <si>
    <t>CE3_LDB_classB_01MarketPlace_32</t>
  </si>
  <si>
    <t>CE3_LDB_classB_01MarketPlace_37</t>
  </si>
  <si>
    <t>CE3_LDB_classB_02RitualDance_22</t>
  </si>
  <si>
    <t>CE3_LDB_classB_02RitualDance_27</t>
  </si>
  <si>
    <t>CE3_LDB_classB_02RitualDance_32</t>
  </si>
  <si>
    <t>CE3_LDB_classB_02RitualDance_37</t>
  </si>
  <si>
    <t>CE3_LDB_classB_03Cactus_22</t>
  </si>
  <si>
    <t>CE3_LDB_classB_03Cactus_27</t>
  </si>
  <si>
    <t>CE3_LDB_classB_03Cactus_32</t>
  </si>
  <si>
    <t>CE3_LDB_classB_03Cactus_37</t>
  </si>
  <si>
    <t>CE3_LDB_classB_04BasketballDrive_22</t>
  </si>
  <si>
    <t>CE3_LDB_classB_04BasketballDrive_27</t>
  </si>
  <si>
    <t>CE3_LDB_classB_04BasketballDrive_32</t>
  </si>
  <si>
    <t>CE3_LDB_classB_04BasketballDrive_37</t>
  </si>
  <si>
    <t>CE3_LDB_classB_05BQTerrace_22</t>
  </si>
  <si>
    <t>CE3_LDB_classB_05BQTerrace_27</t>
  </si>
  <si>
    <t>CE3_LDB_classB_05BQTerrace_32</t>
  </si>
  <si>
    <t>CE3_LDB_classB_05BQTerrace_37</t>
  </si>
  <si>
    <t>CE3_LDB_classC_01BasketballDrill_22</t>
  </si>
  <si>
    <t>CE3_LDB_classC_01BasketballDrill_27</t>
  </si>
  <si>
    <t>CE3_LDB_classC_01BasketballDrill_32</t>
  </si>
  <si>
    <t>CE3_LDB_classC_01BasketballDrill_37</t>
  </si>
  <si>
    <t>CE3_LDB_classC_02BQMall_22</t>
  </si>
  <si>
    <t>CE3_LDB_classC_02BQMall_27</t>
  </si>
  <si>
    <t>CE3_LDB_classC_02BQMall_32</t>
  </si>
  <si>
    <t>CE3_LDB_classC_02BQMall_37</t>
  </si>
  <si>
    <t>CE3_LDB_classC_03PartyScene_22</t>
  </si>
  <si>
    <t>CE3_LDB_classC_03PartyScene_27</t>
  </si>
  <si>
    <t>CE3_LDB_classC_03PartyScene_32</t>
  </si>
  <si>
    <t>CE3_LDB_classC_03PartyScene_37</t>
  </si>
  <si>
    <t>CE3_LDB_classC_04RaceHorsesC_22</t>
  </si>
  <si>
    <t>CE3_LDB_classC_04RaceHorsesC_27</t>
  </si>
  <si>
    <t>CE3_LDB_classC_04RaceHorsesC_32</t>
  </si>
  <si>
    <t>CE3_LDB_classC_04RaceHorsesC_37</t>
  </si>
  <si>
    <t>CE3_LDB_classD_01BasketballPass_22</t>
  </si>
  <si>
    <t>CE3_LDB_classD_01BasketballPass_27</t>
  </si>
  <si>
    <t>CE3_LDB_classD_01BasketballPass_32</t>
  </si>
  <si>
    <t>CE3_LDB_classD_01BasketballPass_37</t>
  </si>
  <si>
    <t>CE3_LDB_classD_02BQSquare_22</t>
  </si>
  <si>
    <t>CE3_LDB_classD_02BQSquare_27</t>
  </si>
  <si>
    <t>CE3_LDB_classD_02BQSquare_32</t>
  </si>
  <si>
    <t>CE3_LDB_classD_02BQSquare_37</t>
  </si>
  <si>
    <t>CE3_LDB_classD_03BlowingBubbles_22</t>
  </si>
  <si>
    <t>CE3_LDB_classD_03BlowingBubbles_27</t>
  </si>
  <si>
    <t>CE3_LDB_classD_03BlowingBubbles_32</t>
  </si>
  <si>
    <t>CE3_LDB_classD_03BlowingBubbles_37</t>
  </si>
  <si>
    <t>CE3_LDB_classD_04RaceHorses_22</t>
  </si>
  <si>
    <t>CE3_LDB_classD_04RaceHorses_27</t>
  </si>
  <si>
    <t>CE3_LDB_classD_04RaceHorses_32</t>
  </si>
  <si>
    <t>CE3_LDB_classD_04RaceHorses_37</t>
  </si>
  <si>
    <t>CE3_LDB_classE_01FourPeople_22</t>
  </si>
  <si>
    <t>CE3_LDB_classE_01FourPeople_27</t>
  </si>
  <si>
    <t>CE3_LDB_classE_01FourPeople_32</t>
  </si>
  <si>
    <t>CE3_LDB_classE_01FourPeople_37</t>
  </si>
  <si>
    <t>CE3_LDB_classE_02Johnny_22</t>
  </si>
  <si>
    <t>CE3_LDB_classE_02Johnny_27</t>
  </si>
  <si>
    <t>CE3_LDB_classE_02Johnny_32</t>
  </si>
  <si>
    <t>CE3_LDB_classE_02Johnny_37</t>
  </si>
  <si>
    <t>CE3_LDB_classE_03KristenAndSara_22</t>
  </si>
  <si>
    <t>CE3_LDB_classE_03KristenAndSara_27</t>
  </si>
  <si>
    <t>CE3_LDB_classE_03KristenAndSara_32</t>
  </si>
  <si>
    <t>CE3_LDB_classE_03KristenAndSara_37</t>
  </si>
  <si>
    <t>CE3_LDB_classF_01BasketballDrillText_22</t>
  </si>
  <si>
    <t>CE3_LDB_classF_01BasketballDrillText_27</t>
  </si>
  <si>
    <t>CE3_LDB_classF_01BasketballDrillText_32</t>
  </si>
  <si>
    <t>CE3_LDB_classF_01BasketballDrillText_37</t>
  </si>
  <si>
    <t>CE3_LDB_classF_02ArenaOfValor_22</t>
  </si>
  <si>
    <t>CE3_LDB_classF_02ArenaOfValor_27</t>
  </si>
  <si>
    <t>CE3_LDB_classF_02ArenaOfValor_32</t>
  </si>
  <si>
    <t>CE3_LDB_classF_02ArenaOfValor_37</t>
  </si>
  <si>
    <t>CE3_LDB_classF_03SlideEditing_22</t>
  </si>
  <si>
    <t>CE3_LDB_classF_03SlideEditing_27</t>
  </si>
  <si>
    <t>CE3_LDB_classF_03SlideEditing_32</t>
  </si>
  <si>
    <t>CE3_LDB_classF_03SlideEditing_37</t>
  </si>
  <si>
    <t>CE3_LDB_classF_04SlideShow_22</t>
  </si>
  <si>
    <t>CE3_LDB_classF_04SlideShow_27</t>
  </si>
  <si>
    <t>CE3_LDB_classF_04SlideShow_32</t>
  </si>
  <si>
    <t>CE3_LDB_classF_04SlideShow_37</t>
  </si>
  <si>
    <t>CE3_LDP_classA1_01Tango2_22</t>
  </si>
  <si>
    <t>CE3_LDP_classA1_01Tango2_27</t>
  </si>
  <si>
    <t>CE3_LDP_classA1_01Tango2_32</t>
  </si>
  <si>
    <t>CE3_LDP_classA1_01Tango2_37</t>
  </si>
  <si>
    <t>CE3_LDP_classA1_02FoodMarket4_22</t>
  </si>
  <si>
    <t>CE3_LDP_classA1_02FoodMarket4_27</t>
  </si>
  <si>
    <t>CE3_LDP_classA1_02FoodMarket4_32</t>
  </si>
  <si>
    <t>CE3_LDP_classA1_02FoodMarket4_37</t>
  </si>
  <si>
    <t>CE3_LDP_classA1_03CampfireParty2_22</t>
  </si>
  <si>
    <t>CE3_LDP_classA1_03CampfireParty2_27</t>
  </si>
  <si>
    <t>CE3_LDP_classA1_03CampfireParty2_32</t>
  </si>
  <si>
    <t>CE3_LDP_classA1_03CampfireParty2_37</t>
  </si>
  <si>
    <t>CE3_LDP_classA2_01CatRobot1_22</t>
  </si>
  <si>
    <t>CE3_LDP_classA2_01CatRobot1_27</t>
  </si>
  <si>
    <t>CE3_LDP_classA2_01CatRobot1_32</t>
  </si>
  <si>
    <t>CE3_LDP_classA2_01CatRobot1_37</t>
  </si>
  <si>
    <t>CE3_LDP_classA2_02DaylightRoad2_22</t>
  </si>
  <si>
    <t>CE3_LDP_classA2_02DaylightRoad2_27</t>
  </si>
  <si>
    <t>CE3_LDP_classA2_02DaylightRoad2_32</t>
  </si>
  <si>
    <t>CE3_LDP_classA2_02DaylightRoad2_37</t>
  </si>
  <si>
    <t>CE3_LDP_classA2_03ParkRunning3_22</t>
  </si>
  <si>
    <t>CE3_LDP_classA2_03ParkRunning3_27</t>
  </si>
  <si>
    <t>CE3_LDP_classA2_03ParkRunning3_32</t>
  </si>
  <si>
    <t>CE3_LDP_classA2_03ParkRunning3_37</t>
  </si>
  <si>
    <t>CE3_LDP_classB_01MarketPlace_22</t>
  </si>
  <si>
    <t>CE3_LDP_classB_01MarketPlace_27</t>
  </si>
  <si>
    <t>CE3_LDP_classB_01MarketPlace_32</t>
  </si>
  <si>
    <t>CE3_LDP_classB_01MarketPlace_37</t>
  </si>
  <si>
    <t>CE3_LDP_classB_02RitualDance_22</t>
  </si>
  <si>
    <t>CE3_LDP_classB_02RitualDance_27</t>
  </si>
  <si>
    <t>CE3_LDP_classB_02RitualDance_32</t>
  </si>
  <si>
    <t>CE3_LDP_classB_02RitualDance_37</t>
  </si>
  <si>
    <t>CE3_LDP_classB_03Cactus_22</t>
  </si>
  <si>
    <t>CE3_LDP_classB_03Cactus_27</t>
  </si>
  <si>
    <t>CE3_LDP_classB_03Cactus_32</t>
  </si>
  <si>
    <t>CE3_LDP_classB_03Cactus_37</t>
  </si>
  <si>
    <t>CE3_LDP_classB_04BasketballDrive_22</t>
  </si>
  <si>
    <t>CE3_LDP_classB_04BasketballDrive_27</t>
  </si>
  <si>
    <t>CE3_LDP_classB_04BasketballDrive_32</t>
  </si>
  <si>
    <t>CE3_LDP_classB_04BasketballDrive_37</t>
  </si>
  <si>
    <t>CE3_LDP_classB_05BQTerrace_22</t>
  </si>
  <si>
    <t>CE3_LDP_classB_05BQTerrace_27</t>
  </si>
  <si>
    <t>CE3_LDP_classB_05BQTerrace_32</t>
  </si>
  <si>
    <t>CE3_LDP_classB_05BQTerrace_37</t>
  </si>
  <si>
    <t>CE3_LDP_classC_01BasketballDrill_22</t>
  </si>
  <si>
    <t>CE3_LDP_classC_01BasketballDrill_27</t>
  </si>
  <si>
    <t>CE3_LDP_classC_01BasketballDrill_32</t>
  </si>
  <si>
    <t>CE3_LDP_classC_01BasketballDrill_37</t>
  </si>
  <si>
    <t>CE3_LDP_classC_02BQMall_22</t>
  </si>
  <si>
    <t>CE3_LDP_classC_02BQMall_27</t>
  </si>
  <si>
    <t>CE3_LDP_classC_02BQMall_32</t>
  </si>
  <si>
    <t>CE3_LDP_classC_02BQMall_37</t>
  </si>
  <si>
    <t>CE3_LDP_classC_03PartyScene_22</t>
  </si>
  <si>
    <t>CE3_LDP_classC_03PartyScene_27</t>
  </si>
  <si>
    <t>CE3_LDP_classC_03PartyScene_32</t>
  </si>
  <si>
    <t>CE3_LDP_classC_03PartyScene_37</t>
  </si>
  <si>
    <t>CE3_LDP_classC_04RaceHorsesC_22</t>
  </si>
  <si>
    <t>CE3_LDP_classC_04RaceHorsesC_27</t>
  </si>
  <si>
    <t>CE3_LDP_classC_04RaceHorsesC_32</t>
  </si>
  <si>
    <t>CE3_LDP_classC_04RaceHorsesC_37</t>
  </si>
  <si>
    <t>CE3_LDP_classD_01BasketballPass_22</t>
  </si>
  <si>
    <t>CE3_LDP_classD_01BasketballPass_27</t>
  </si>
  <si>
    <t>CE3_LDP_classD_01BasketballPass_32</t>
  </si>
  <si>
    <t>CE3_LDP_classD_01BasketballPass_37</t>
  </si>
  <si>
    <t>CE3_LDP_classD_02BQSquare_22</t>
  </si>
  <si>
    <t>CE3_LDP_classD_02BQSquare_27</t>
  </si>
  <si>
    <t>CE3_LDP_classD_02BQSquare_32</t>
  </si>
  <si>
    <t>CE3_LDP_classD_02BQSquare_37</t>
  </si>
  <si>
    <t>CE3_LDP_classD_03BlowingBubbles_22</t>
  </si>
  <si>
    <t>CE3_LDP_classD_03BlowingBubbles_27</t>
  </si>
  <si>
    <t>CE3_LDP_classD_03BlowingBubbles_32</t>
  </si>
  <si>
    <t>CE3_LDP_classD_03BlowingBubbles_37</t>
  </si>
  <si>
    <t>CE3_LDP_classD_04RaceHorses_22</t>
  </si>
  <si>
    <t>CE3_LDP_classD_04RaceHorses_27</t>
  </si>
  <si>
    <t>CE3_LDP_classD_04RaceHorses_32</t>
  </si>
  <si>
    <t>CE3_LDP_classD_04RaceHorses_37</t>
  </si>
  <si>
    <t>CE3_LDP_classE_01FourPeople_22</t>
  </si>
  <si>
    <t>CE3_LDP_classE_01FourPeople_27</t>
  </si>
  <si>
    <t>CE3_LDP_classE_01FourPeople_32</t>
  </si>
  <si>
    <t>CE3_LDP_classE_01FourPeople_37</t>
  </si>
  <si>
    <t>CE3_LDP_classE_02Johnny_22</t>
  </si>
  <si>
    <t>CE3_LDP_classE_02Johnny_27</t>
  </si>
  <si>
    <t>CE3_LDP_classE_02Johnny_32</t>
  </si>
  <si>
    <t>CE3_LDP_classE_02Johnny_37</t>
  </si>
  <si>
    <t>CE3_LDP_classE_03KristenAndSara_22</t>
  </si>
  <si>
    <t>CE3_LDP_classE_03KristenAndSara_27</t>
  </si>
  <si>
    <t>CE3_LDP_classE_03KristenAndSara_32</t>
  </si>
  <si>
    <t>CE3_LDP_classE_03KristenAndSara_37</t>
  </si>
  <si>
    <t>CE3_LDP_classF_01BasketballDrillText_22</t>
  </si>
  <si>
    <t>CE3_LDP_classF_01BasketballDrillText_27</t>
  </si>
  <si>
    <t>CE3_LDP_classF_01BasketballDrillText_32</t>
  </si>
  <si>
    <t>CE3_LDP_classF_01BasketballDrillText_37</t>
  </si>
  <si>
    <t>CE3_LDP_classF_02ArenaOfValor_22</t>
  </si>
  <si>
    <t>CE3_LDP_classF_02ArenaOfValor_27</t>
  </si>
  <si>
    <t>CE3_LDP_classF_02ArenaOfValor_32</t>
  </si>
  <si>
    <t>CE3_LDP_classF_02ArenaOfValor_37</t>
  </si>
  <si>
    <t>CE3_LDP_classF_03SlideEditing_22</t>
  </si>
  <si>
    <t>CE3_LDP_classF_03SlideEditing_27</t>
  </si>
  <si>
    <t>CE3_LDP_classF_03SlideEditing_32</t>
  </si>
  <si>
    <t>CE3_LDP_classF_03SlideEditing_37</t>
  </si>
  <si>
    <t>CE3_LDP_classF_04SlideShow_22</t>
  </si>
  <si>
    <t>CE3_LDP_classF_04SlideShow_27</t>
  </si>
  <si>
    <t>CE3_LDP_classF_04SlideShow_32</t>
  </si>
  <si>
    <t>CE3_LDP_classF_04SlideShow_37</t>
  </si>
  <si>
    <t xml:space="preserve"> 44.6420    47.2322</t>
    <phoneticPr fontId="9" type="noConversion"/>
  </si>
  <si>
    <t>Tango2</t>
    <phoneticPr fontId="9" type="noConversion"/>
  </si>
  <si>
    <t>FoodMarket4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</si>
</sst>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 "/>
    <numFmt numFmtId="177" formatCode="0.0"/>
    <numFmt numFmtId="178" formatCode="0.0%"/>
    <numFmt numFmtId="179" formatCode="0.00000%"/>
    <numFmt numFmtId="180" formatCode="0.0000_ "/>
    <numFmt numFmtId="181" formatCode="0.0000"/>
    <numFmt numFmtId="182" formatCode="0.000"/>
  </numFmts>
  <fonts count="13" x14ac:knownFonts="1">
    <font>
      <sz val="12"/>
      <color theme="1"/>
      <name val="宋体"/>
      <family val="2"/>
      <charset val="129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b/>
      <sz val="9"/>
      <color theme="1"/>
      <name val="Arial"/>
      <family val="2"/>
    </font>
    <font>
      <sz val="9"/>
      <name val="宋体"/>
      <family val="3"/>
      <charset val="134"/>
      <scheme val="minor"/>
    </font>
    <font>
      <sz val="12"/>
      <name val="宋体"/>
      <family val="2"/>
      <charset val="129"/>
      <scheme val="minor"/>
    </font>
    <font>
      <sz val="12"/>
      <name val="宋体"/>
      <family val="3"/>
      <charset val="134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4" fillId="0" borderId="0"/>
    <xf numFmtId="0" fontId="6" fillId="0" borderId="0"/>
    <xf numFmtId="0" fontId="7" fillId="0" borderId="0"/>
  </cellStyleXfs>
  <cellXfs count="13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176" fontId="1" fillId="2" borderId="8" xfId="0" applyNumberFormat="1" applyFont="1" applyFill="1" applyBorder="1"/>
    <xf numFmtId="176" fontId="1" fillId="2" borderId="0" xfId="0" applyNumberFormat="1" applyFont="1" applyFill="1"/>
    <xf numFmtId="176" fontId="1" fillId="2" borderId="9" xfId="0" applyNumberFormat="1" applyFont="1" applyFill="1" applyBorder="1"/>
    <xf numFmtId="0" fontId="1" fillId="0" borderId="0" xfId="0" applyFont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9" fontId="1" fillId="0" borderId="0" xfId="0" applyNumberFormat="1" applyFont="1"/>
    <xf numFmtId="0" fontId="0" fillId="3" borderId="0" xfId="0" applyFill="1"/>
    <xf numFmtId="0" fontId="0" fillId="0" borderId="0" xfId="0"/>
    <xf numFmtId="2" fontId="3" fillId="0" borderId="0" xfId="0" applyNumberFormat="1" applyFont="1"/>
    <xf numFmtId="0" fontId="3" fillId="0" borderId="0" xfId="0" applyFont="1"/>
    <xf numFmtId="0" fontId="1" fillId="0" borderId="6" xfId="0" applyFont="1" applyBorder="1"/>
    <xf numFmtId="0" fontId="1" fillId="0" borderId="7" xfId="0" applyFont="1" applyBorder="1"/>
    <xf numFmtId="0" fontId="1" fillId="0" borderId="10" xfId="0" applyFont="1" applyBorder="1"/>
    <xf numFmtId="0" fontId="2" fillId="0" borderId="0" xfId="0" applyFont="1" applyAlignment="1">
      <alignment horizontal="center"/>
    </xf>
    <xf numFmtId="0" fontId="2" fillId="0" borderId="0" xfId="0" applyFont="1"/>
    <xf numFmtId="10" fontId="1" fillId="0" borderId="0" xfId="0" applyNumberFormat="1" applyFont="1"/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/>
    <xf numFmtId="10" fontId="1" fillId="0" borderId="11" xfId="0" applyNumberFormat="1" applyFont="1" applyBorder="1"/>
    <xf numFmtId="10" fontId="1" fillId="0" borderId="8" xfId="0" applyNumberFormat="1" applyFont="1" applyBorder="1" applyAlignment="1">
      <alignment horizontal="center"/>
    </xf>
    <xf numFmtId="10" fontId="1" fillId="0" borderId="1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0" xfId="0" applyNumberFormat="1" applyFont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2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10" fontId="1" fillId="0" borderId="9" xfId="0" applyNumberFormat="1" applyFont="1" applyBorder="1"/>
    <xf numFmtId="10" fontId="1" fillId="0" borderId="12" xfId="0" applyNumberFormat="1" applyFont="1" applyBorder="1"/>
    <xf numFmtId="10" fontId="1" fillId="0" borderId="13" xfId="0" applyNumberFormat="1" applyFont="1" applyBorder="1"/>
    <xf numFmtId="0" fontId="1" fillId="0" borderId="3" xfId="0" applyFont="1" applyBorder="1"/>
    <xf numFmtId="2" fontId="1" fillId="0" borderId="4" xfId="0" applyNumberFormat="1" applyFont="1" applyBorder="1"/>
    <xf numFmtId="2" fontId="1" fillId="0" borderId="0" xfId="0" applyNumberFormat="1" applyFont="1"/>
    <xf numFmtId="2" fontId="1" fillId="0" borderId="12" xfId="0" applyNumberFormat="1" applyFont="1" applyBorder="1"/>
    <xf numFmtId="2" fontId="1" fillId="0" borderId="2" xfId="0" applyNumberFormat="1" applyFont="1" applyBorder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1" fillId="0" borderId="4" xfId="0" applyNumberFormat="1" applyFont="1" applyBorder="1" applyAlignment="1">
      <alignment horizontal="center" vertical="center"/>
    </xf>
    <xf numFmtId="10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5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0" fontId="1" fillId="0" borderId="19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76" fontId="0" fillId="0" borderId="0" xfId="0" applyNumberFormat="1"/>
    <xf numFmtId="9" fontId="1" fillId="0" borderId="4" xfId="0" applyNumberFormat="1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/>
    </xf>
    <xf numFmtId="179" fontId="1" fillId="0" borderId="4" xfId="0" applyNumberFormat="1" applyFont="1" applyBorder="1" applyAlignment="1">
      <alignment horizontal="center"/>
    </xf>
    <xf numFmtId="179" fontId="1" fillId="0" borderId="5" xfId="0" applyNumberFormat="1" applyFont="1" applyBorder="1" applyAlignment="1">
      <alignment horizontal="center"/>
    </xf>
    <xf numFmtId="179" fontId="1" fillId="0" borderId="8" xfId="0" applyNumberFormat="1" applyFont="1" applyBorder="1"/>
    <xf numFmtId="179" fontId="1" fillId="0" borderId="0" xfId="0" applyNumberFormat="1" applyFont="1"/>
    <xf numFmtId="179" fontId="1" fillId="0" borderId="9" xfId="0" applyNumberFormat="1" applyFont="1" applyBorder="1"/>
    <xf numFmtId="179" fontId="1" fillId="0" borderId="11" xfId="0" applyNumberFormat="1" applyFont="1" applyBorder="1"/>
    <xf numFmtId="179" fontId="1" fillId="0" borderId="12" xfId="0" applyNumberFormat="1" applyFont="1" applyBorder="1"/>
    <xf numFmtId="179" fontId="1" fillId="0" borderId="13" xfId="0" applyNumberFormat="1" applyFont="1" applyBorder="1"/>
    <xf numFmtId="176" fontId="1" fillId="0" borderId="4" xfId="0" applyNumberFormat="1" applyFont="1" applyBorder="1"/>
    <xf numFmtId="176" fontId="1" fillId="0" borderId="0" xfId="0" applyNumberFormat="1" applyFont="1"/>
    <xf numFmtId="176" fontId="1" fillId="0" borderId="12" xfId="0" applyNumberFormat="1" applyFont="1" applyBorder="1"/>
    <xf numFmtId="10" fontId="1" fillId="0" borderId="3" xfId="1" applyNumberFormat="1" applyFont="1" applyBorder="1" applyAlignment="1">
      <alignment horizontal="center"/>
    </xf>
    <xf numFmtId="10" fontId="1" fillId="0" borderId="4" xfId="1" applyNumberFormat="1" applyFont="1" applyBorder="1" applyAlignment="1">
      <alignment horizontal="center"/>
    </xf>
    <xf numFmtId="10" fontId="1" fillId="0" borderId="5" xfId="1" applyNumberFormat="1" applyFont="1" applyBorder="1" applyAlignment="1">
      <alignment horizontal="center"/>
    </xf>
    <xf numFmtId="10" fontId="1" fillId="0" borderId="8" xfId="1" applyNumberFormat="1" applyFont="1" applyBorder="1"/>
    <xf numFmtId="10" fontId="1" fillId="0" borderId="0" xfId="1" applyNumberFormat="1" applyFont="1"/>
    <xf numFmtId="10" fontId="1" fillId="0" borderId="9" xfId="1" applyNumberFormat="1" applyFont="1" applyBorder="1"/>
    <xf numFmtId="10" fontId="1" fillId="0" borderId="11" xfId="1" applyNumberFormat="1" applyFont="1" applyBorder="1"/>
    <xf numFmtId="10" fontId="1" fillId="0" borderId="12" xfId="1" applyNumberFormat="1" applyFont="1" applyBorder="1"/>
    <xf numFmtId="10" fontId="1" fillId="0" borderId="13" xfId="1" applyNumberFormat="1" applyFont="1" applyBorder="1"/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0" fontId="1" fillId="0" borderId="11" xfId="0" applyNumberFormat="1" applyFont="1" applyBorder="1" applyAlignment="1">
      <alignment horizontal="center" vertical="center"/>
    </xf>
    <xf numFmtId="10" fontId="1" fillId="0" borderId="12" xfId="0" applyNumberFormat="1" applyFont="1" applyBorder="1" applyAlignment="1">
      <alignment horizontal="center" vertical="center"/>
    </xf>
    <xf numFmtId="9" fontId="1" fillId="0" borderId="12" xfId="0" applyNumberFormat="1" applyFont="1" applyBorder="1" applyAlignment="1">
      <alignment horizontal="center" vertical="center"/>
    </xf>
    <xf numFmtId="9" fontId="1" fillId="0" borderId="13" xfId="0" applyNumberFormat="1" applyFont="1" applyBorder="1" applyAlignment="1">
      <alignment horizontal="center" vertical="center"/>
    </xf>
    <xf numFmtId="10" fontId="1" fillId="0" borderId="15" xfId="0" applyNumberFormat="1" applyFont="1" applyBorder="1" applyAlignment="1">
      <alignment horizontal="center" vertical="center"/>
    </xf>
    <xf numFmtId="0" fontId="5" fillId="0" borderId="0" xfId="0" applyFont="1"/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8" fontId="1" fillId="0" borderId="0" xfId="0" applyNumberFormat="1" applyFont="1"/>
    <xf numFmtId="177" fontId="3" fillId="0" borderId="0" xfId="0" applyNumberFormat="1" applyFont="1"/>
    <xf numFmtId="180" fontId="0" fillId="0" borderId="0" xfId="0" applyNumberFormat="1"/>
    <xf numFmtId="181" fontId="0" fillId="0" borderId="0" xfId="0" applyNumberFormat="1"/>
    <xf numFmtId="0" fontId="0" fillId="0" borderId="0" xfId="0"/>
    <xf numFmtId="176" fontId="0" fillId="0" borderId="0" xfId="0" applyNumberFormat="1"/>
    <xf numFmtId="182" fontId="0" fillId="0" borderId="0" xfId="0" applyNumberFormat="1"/>
    <xf numFmtId="0" fontId="0" fillId="4" borderId="0" xfId="0" applyFill="1"/>
    <xf numFmtId="0" fontId="10" fillId="4" borderId="0" xfId="0" applyFont="1" applyFill="1"/>
    <xf numFmtId="0" fontId="11" fillId="4" borderId="0" xfId="0" applyFont="1" applyFill="1"/>
    <xf numFmtId="182" fontId="11" fillId="4" borderId="0" xfId="0" applyNumberFormat="1" applyFont="1" applyFill="1"/>
    <xf numFmtId="0" fontId="1" fillId="4" borderId="6" xfId="0" applyFont="1" applyFill="1" applyBorder="1"/>
    <xf numFmtId="176" fontId="1" fillId="4" borderId="3" xfId="0" applyNumberFormat="1" applyFont="1" applyFill="1" applyBorder="1"/>
    <xf numFmtId="176" fontId="1" fillId="4" borderId="4" xfId="0" applyNumberFormat="1" applyFont="1" applyFill="1" applyBorder="1"/>
    <xf numFmtId="0" fontId="1" fillId="4" borderId="7" xfId="0" applyFont="1" applyFill="1" applyBorder="1"/>
    <xf numFmtId="176" fontId="1" fillId="4" borderId="8" xfId="0" applyNumberFormat="1" applyFont="1" applyFill="1" applyBorder="1"/>
    <xf numFmtId="176" fontId="1" fillId="4" borderId="0" xfId="0" applyNumberFormat="1" applyFont="1" applyFill="1"/>
    <xf numFmtId="0" fontId="1" fillId="4" borderId="10" xfId="0" applyFont="1" applyFill="1" applyBorder="1"/>
    <xf numFmtId="176" fontId="1" fillId="4" borderId="11" xfId="0" applyNumberFormat="1" applyFont="1" applyFill="1" applyBorder="1"/>
    <xf numFmtId="176" fontId="1" fillId="4" borderId="12" xfId="0" applyNumberFormat="1" applyFont="1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5" borderId="10" xfId="0" applyFont="1" applyFill="1" applyBorder="1"/>
    <xf numFmtId="0" fontId="0" fillId="0" borderId="0" xfId="0" applyNumberFormat="1"/>
    <xf numFmtId="0" fontId="12" fillId="0" borderId="0" xfId="0" applyNumberFormat="1" applyFont="1" applyFill="1" applyBorder="1" applyAlignment="1" applyProtection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4">
    <cellStyle name="百分比" xfId="1" builtinId="5"/>
    <cellStyle name="常规" xfId="0" builtinId="0"/>
    <cellStyle name="超链接" xfId="2" builtinId="8" hidden="1"/>
    <cellStyle name="已访问的超链接" xfId="3" builtinId="9" hidden="1"/>
  </cellStyles>
  <dxfs count="100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29328.799999999999</c:v>
                </c:pt>
                <c:pt idx="1">
                  <c:v>15431.6</c:v>
                </c:pt>
                <c:pt idx="2">
                  <c:v>8179.6</c:v>
                </c:pt>
                <c:pt idx="3">
                  <c:v>4338.3999999999996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45.1631</c:v>
                </c:pt>
                <c:pt idx="1">
                  <c:v>41.675899999999999</c:v>
                </c:pt>
                <c:pt idx="2">
                  <c:v>38.5991</c:v>
                </c:pt>
                <c:pt idx="3">
                  <c:v>35.8645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FD-49FF-8170-2E7F8E8D94A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29296.799999999999</c:v>
                </c:pt>
                <c:pt idx="1">
                  <c:v>15417.6</c:v>
                </c:pt>
                <c:pt idx="2">
                  <c:v>8142.8</c:v>
                </c:pt>
                <c:pt idx="3">
                  <c:v>4278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45.168999999999997</c:v>
                </c:pt>
                <c:pt idx="1">
                  <c:v>41.671999999999997</c:v>
                </c:pt>
                <c:pt idx="2">
                  <c:v>38.573700000000002</c:v>
                </c:pt>
                <c:pt idx="3">
                  <c:v>35.832000000000001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FD-49FF-8170-2E7F8E8D9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380133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9670859661060891"/>
          <c:y val="0.65578316996089769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29328.799999999999</c:v>
                </c:pt>
                <c:pt idx="1">
                  <c:v>15431.6</c:v>
                </c:pt>
                <c:pt idx="2">
                  <c:v>8179.6</c:v>
                </c:pt>
                <c:pt idx="3">
                  <c:v>4338.3999999999996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46.451999999999998</c:v>
                </c:pt>
                <c:pt idx="1">
                  <c:v>44.579599999999999</c:v>
                </c:pt>
                <c:pt idx="2">
                  <c:v>42.344000000000001</c:v>
                </c:pt>
                <c:pt idx="3">
                  <c:v>40.104700000000001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D-463A-A35A-A87B8331C1EA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29296.799999999999</c:v>
                </c:pt>
                <c:pt idx="1">
                  <c:v>15417.6</c:v>
                </c:pt>
                <c:pt idx="2">
                  <c:v>8142.8</c:v>
                </c:pt>
                <c:pt idx="3">
                  <c:v>4278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46.417999999999999</c:v>
                </c:pt>
                <c:pt idx="1">
                  <c:v>44.527999999999999</c:v>
                </c:pt>
                <c:pt idx="2">
                  <c:v>42.314100000000003</c:v>
                </c:pt>
                <c:pt idx="3">
                  <c:v>40.043399999999998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3D-463A-A35A-A87B8331C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9.5"/>
          <c:min val="4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512228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9592088998763901"/>
          <c:y val="0.63425367560762225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29328.799999999999</c:v>
                </c:pt>
                <c:pt idx="1">
                  <c:v>15431.6</c:v>
                </c:pt>
                <c:pt idx="2">
                  <c:v>8179.6</c:v>
                </c:pt>
                <c:pt idx="3">
                  <c:v>4338.3999999999996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47.651400000000002</c:v>
                </c:pt>
                <c:pt idx="1">
                  <c:v>45.7515</c:v>
                </c:pt>
                <c:pt idx="2">
                  <c:v>43.406500000000001</c:v>
                </c:pt>
                <c:pt idx="3">
                  <c:v>40.803699999999999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59-4B23-8392-8872B61B980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29296.799999999999</c:v>
                </c:pt>
                <c:pt idx="1">
                  <c:v>15417.6</c:v>
                </c:pt>
                <c:pt idx="2">
                  <c:v>8142.8</c:v>
                </c:pt>
                <c:pt idx="3">
                  <c:v>4278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47.594999999999999</c:v>
                </c:pt>
                <c:pt idx="1">
                  <c:v>45.633000000000003</c:v>
                </c:pt>
                <c:pt idx="2">
                  <c:v>43.365000000000002</c:v>
                </c:pt>
                <c:pt idx="3">
                  <c:v>40.807299999999998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59-4B23-8392-8872B61B9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7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4582424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29328.799999999999</c:v>
                </c:pt>
                <c:pt idx="1">
                  <c:v>15431.6</c:v>
                </c:pt>
                <c:pt idx="2">
                  <c:v>8179.6</c:v>
                </c:pt>
                <c:pt idx="3">
                  <c:v>4338.3999999999996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45.1631</c:v>
                </c:pt>
                <c:pt idx="1">
                  <c:v>41.675899999999999</c:v>
                </c:pt>
                <c:pt idx="2">
                  <c:v>38.5991</c:v>
                </c:pt>
                <c:pt idx="3">
                  <c:v>35.8645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61-450F-8576-81BA37C46C1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29296.799999999999</c:v>
                </c:pt>
                <c:pt idx="1">
                  <c:v>15417.6</c:v>
                </c:pt>
                <c:pt idx="2">
                  <c:v>8142.8</c:v>
                </c:pt>
                <c:pt idx="3">
                  <c:v>4278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45.168999999999997</c:v>
                </c:pt>
                <c:pt idx="1">
                  <c:v>41.671999999999997</c:v>
                </c:pt>
                <c:pt idx="2">
                  <c:v>38.573700000000002</c:v>
                </c:pt>
                <c:pt idx="3">
                  <c:v>35.832000000000001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61-450F-8576-81BA37C46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1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4473272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AEAC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R48"/>
  <sheetViews>
    <sheetView tabSelected="1" workbookViewId="0">
      <selection activeCell="D10" sqref="D10"/>
    </sheetView>
  </sheetViews>
  <sheetFormatPr defaultColWidth="10.875" defaultRowHeight="12" x14ac:dyDescent="0.2"/>
  <cols>
    <col min="1" max="1" width="4.125" style="15" customWidth="1"/>
    <col min="2" max="2" width="13.625" style="66" customWidth="1"/>
    <col min="3" max="7" width="8.875" style="66" customWidth="1"/>
    <col min="8" max="8" width="10.875" style="15" customWidth="1"/>
    <col min="9" max="9" width="20.625" style="15" customWidth="1"/>
    <col min="10" max="10" width="10.875" style="15" customWidth="1"/>
    <col min="11" max="16384" width="10.875" style="15"/>
  </cols>
  <sheetData>
    <row r="1" spans="2:18" ht="12.75" customHeight="1" thickBot="1" x14ac:dyDescent="0.25"/>
    <row r="2" spans="2:18" ht="12.75" customHeight="1" thickBot="1" x14ac:dyDescent="0.25">
      <c r="C2" s="104"/>
      <c r="D2" s="105"/>
      <c r="E2" s="107" t="s">
        <v>0</v>
      </c>
      <c r="F2" s="105"/>
      <c r="G2" s="106"/>
      <c r="I2" s="28"/>
      <c r="J2" s="28"/>
    </row>
    <row r="3" spans="2:18" ht="12.75" customHeight="1" x14ac:dyDescent="0.2">
      <c r="C3" s="101"/>
      <c r="D3" s="102"/>
      <c r="E3" s="102" t="str">
        <f>CONCATENATE("Over ", $J$3)</f>
        <v xml:space="preserve">Over </v>
      </c>
      <c r="F3" s="102"/>
      <c r="G3" s="103"/>
      <c r="I3" s="28"/>
      <c r="J3" s="28"/>
    </row>
    <row r="4" spans="2:18" ht="12.75" customHeight="1" thickBot="1" x14ac:dyDescent="0.25">
      <c r="C4" s="51" t="s">
        <v>1</v>
      </c>
      <c r="D4" s="52" t="s">
        <v>2</v>
      </c>
      <c r="E4" s="53" t="s">
        <v>3</v>
      </c>
      <c r="F4" s="54" t="s">
        <v>4</v>
      </c>
      <c r="G4" s="55" t="s">
        <v>5</v>
      </c>
      <c r="I4" s="28"/>
      <c r="J4" s="28"/>
    </row>
    <row r="5" spans="2:18" ht="12.75" customHeight="1" x14ac:dyDescent="0.2">
      <c r="B5" s="67" t="s">
        <v>6</v>
      </c>
      <c r="C5" s="56">
        <f>'AI-10'!V107</f>
        <v>2.0716044871652795E-2</v>
      </c>
      <c r="D5" s="57">
        <f>'AI-10'!W107</f>
        <v>-2.2469871292061534E-2</v>
      </c>
      <c r="E5" s="58">
        <f>'AI-10'!X107</f>
        <v>-2.1597594893708494E-2</v>
      </c>
      <c r="F5" s="59">
        <f>'AI-10'!S107</f>
        <v>0.99363085247259508</v>
      </c>
      <c r="G5" s="60">
        <f>'AI-10'!T107</f>
        <v>0.95355539444176529</v>
      </c>
      <c r="H5" s="29"/>
      <c r="J5" s="28"/>
    </row>
    <row r="6" spans="2:18" ht="12.75" customHeight="1" x14ac:dyDescent="0.2">
      <c r="B6" s="68" t="s">
        <v>7</v>
      </c>
      <c r="C6" s="61">
        <f>'AI-10'!V108</f>
        <v>1.6149347694069432E-2</v>
      </c>
      <c r="D6" s="62">
        <f>'AI-10'!W108</f>
        <v>-3.2916005080088184E-2</v>
      </c>
      <c r="E6" s="63">
        <f>'AI-10'!X108</f>
        <v>-6.8902589966172448E-2</v>
      </c>
      <c r="F6" s="64">
        <f>'AI-10'!S108</f>
        <v>1.025163700321434</v>
      </c>
      <c r="G6" s="65">
        <f>'AI-10'!T108</f>
        <v>0.99803575613972206</v>
      </c>
      <c r="H6" s="29"/>
      <c r="J6" s="28"/>
    </row>
    <row r="7" spans="2:18" ht="12.75" customHeight="1" x14ac:dyDescent="0.2">
      <c r="B7" s="68" t="s">
        <v>8</v>
      </c>
      <c r="C7" s="61">
        <f>'AI-10'!V109</f>
        <v>9.3282016708951861E-3</v>
      </c>
      <c r="D7" s="62">
        <f>'AI-10'!W109</f>
        <v>-5.2218536682236215E-2</v>
      </c>
      <c r="E7" s="63">
        <f>'AI-10'!X109</f>
        <v>-1.3401890479779021E-3</v>
      </c>
      <c r="F7" s="64">
        <f>'AI-10'!S109</f>
        <v>1.0158236873267172</v>
      </c>
      <c r="G7" s="65">
        <f>'AI-10'!T109</f>
        <v>1.0054011634005542</v>
      </c>
      <c r="H7" s="29"/>
    </row>
    <row r="8" spans="2:18" ht="12.75" customHeight="1" x14ac:dyDescent="0.2">
      <c r="B8" s="68" t="s">
        <v>9</v>
      </c>
      <c r="C8" s="61">
        <f>'AI-10'!V110</f>
        <v>6.5707098657666885E-3</v>
      </c>
      <c r="D8" s="62">
        <f>'AI-10'!W110</f>
        <v>-4.9117767335913332E-3</v>
      </c>
      <c r="E8" s="63">
        <f>'AI-10'!X110</f>
        <v>-2.3612954577870438E-3</v>
      </c>
      <c r="F8" s="64">
        <f>'AI-10'!S110</f>
        <v>1.0115837624149788</v>
      </c>
      <c r="G8" s="65">
        <f>'AI-10'!T110</f>
        <v>1.0055456868205173</v>
      </c>
      <c r="H8" s="29"/>
    </row>
    <row r="9" spans="2:18" ht="12.75" customHeight="1" thickBot="1" x14ac:dyDescent="0.25">
      <c r="B9" s="68" t="s">
        <v>10</v>
      </c>
      <c r="C9" s="61">
        <f>'AI-10'!V112</f>
        <v>5.2183229564025284E-3</v>
      </c>
      <c r="D9" s="62">
        <f>'AI-10'!W112</f>
        <v>-2.4448198137297261E-2</v>
      </c>
      <c r="E9" s="63">
        <f>'AI-10'!X112</f>
        <v>-4.5849802861029208E-2</v>
      </c>
      <c r="F9" s="64">
        <f>'AI-10'!S112</f>
        <v>1.0159268303005486</v>
      </c>
      <c r="G9" s="65">
        <f>'AI-10'!T112</f>
        <v>1.0031146924808581</v>
      </c>
      <c r="H9" s="29"/>
    </row>
    <row r="10" spans="2:18" ht="12.75" customHeight="1" thickBot="1" x14ac:dyDescent="0.25">
      <c r="B10" s="92" t="s">
        <v>11</v>
      </c>
      <c r="C10" s="56">
        <f>'AI-10'!V114</f>
        <v>1.1065277465773163E-2</v>
      </c>
      <c r="D10" s="57">
        <f>'AI-10'!W114</f>
        <v>-2.8902334104104851E-2</v>
      </c>
      <c r="E10" s="58">
        <f>'AI-10'!X114</f>
        <v>-2.362200501298712E-2</v>
      </c>
      <c r="F10" s="59">
        <f>'AI-10'!S114</f>
        <v>1.0127112253556603</v>
      </c>
      <c r="G10" s="60">
        <f>'AI-10'!T114</f>
        <v>0.99500210687683677</v>
      </c>
      <c r="H10" s="29"/>
      <c r="I10" s="28"/>
    </row>
    <row r="11" spans="2:18" ht="12.75" customHeight="1" x14ac:dyDescent="0.2">
      <c r="B11" s="94" t="s">
        <v>12</v>
      </c>
      <c r="C11" s="56">
        <f>'AI-10'!V111</f>
        <v>-1.0413031331493988E-2</v>
      </c>
      <c r="D11" s="57">
        <f>'AI-10'!W111</f>
        <v>-0.1052389329040864</v>
      </c>
      <c r="E11" s="58">
        <f>'AI-10'!X111</f>
        <v>-0.10543633335954161</v>
      </c>
      <c r="F11" s="70">
        <f>'AI-10'!S111</f>
        <v>1.0218423952577602</v>
      </c>
      <c r="G11" s="60">
        <f>'AI-10'!T111</f>
        <v>1.0066810128634227</v>
      </c>
      <c r="H11" s="29"/>
      <c r="I11" s="28"/>
    </row>
    <row r="12" spans="2:18" ht="12.75" customHeight="1" thickBot="1" x14ac:dyDescent="0.25">
      <c r="B12" s="51" t="s">
        <v>13</v>
      </c>
      <c r="C12" s="95">
        <f>'AI-10'!V113</f>
        <v>-3.2388753728584158E-2</v>
      </c>
      <c r="D12" s="96">
        <f>'AI-10'!W113</f>
        <v>-0.13984910157765043</v>
      </c>
      <c r="E12" s="99">
        <f>'AI-10'!X113</f>
        <v>-0.16293747492000329</v>
      </c>
      <c r="F12" s="97">
        <f>'AI-10'!S113</f>
        <v>1.0033532924948332</v>
      </c>
      <c r="G12" s="98">
        <f>'AI-10'!T113</f>
        <v>0.9631749754200305</v>
      </c>
      <c r="H12" s="29"/>
    </row>
    <row r="13" spans="2:18" ht="12.75" customHeight="1" thickBot="1" x14ac:dyDescent="0.25">
      <c r="I13" s="100"/>
    </row>
    <row r="14" spans="2:18" ht="12.75" customHeight="1" thickBot="1" x14ac:dyDescent="0.25">
      <c r="C14" s="104"/>
      <c r="D14" s="105"/>
      <c r="E14" s="107" t="s">
        <v>14</v>
      </c>
      <c r="F14" s="105"/>
      <c r="G14" s="106"/>
      <c r="J14" s="28"/>
    </row>
    <row r="15" spans="2:18" ht="12.75" customHeight="1" x14ac:dyDescent="0.2">
      <c r="C15" s="101"/>
      <c r="D15" s="102"/>
      <c r="E15" s="102" t="str">
        <f>CONCATENATE("Over ", $J$3)</f>
        <v xml:space="preserve">Over </v>
      </c>
      <c r="F15" s="102"/>
      <c r="G15" s="103"/>
      <c r="I15" s="28"/>
    </row>
    <row r="16" spans="2:18" ht="12.75" customHeight="1" thickBot="1" x14ac:dyDescent="0.25">
      <c r="C16" s="51" t="s">
        <v>1</v>
      </c>
      <c r="D16" s="52" t="s">
        <v>2</v>
      </c>
      <c r="E16" s="53" t="s">
        <v>3</v>
      </c>
      <c r="F16" s="54" t="s">
        <v>4</v>
      </c>
      <c r="G16" s="55" t="s">
        <v>5</v>
      </c>
      <c r="I16" s="28"/>
      <c r="J16" s="29"/>
      <c r="K16" s="29"/>
      <c r="L16" s="29"/>
      <c r="M16" s="29"/>
      <c r="N16" s="29"/>
      <c r="O16" s="29"/>
      <c r="P16" s="29"/>
      <c r="Q16" s="29"/>
      <c r="R16" s="29"/>
    </row>
    <row r="17" spans="2:18" ht="12.75" customHeight="1" x14ac:dyDescent="0.2">
      <c r="B17" s="67" t="str">
        <f>B5</f>
        <v>Class A1</v>
      </c>
      <c r="C17" s="56">
        <f>'RA-10'!V107</f>
        <v>-0.29541500324691877</v>
      </c>
      <c r="D17" s="57">
        <f>'RA-10'!W107</f>
        <v>-0.27838149408799973</v>
      </c>
      <c r="E17" s="58">
        <f>'RA-10'!X107</f>
        <v>-9.7868186482595987E-2</v>
      </c>
      <c r="F17" s="59">
        <f>'RA-10'!S107</f>
        <v>0.99363085247259508</v>
      </c>
      <c r="G17" s="60">
        <f>'RA-10'!T107</f>
        <v>0.95355539444176529</v>
      </c>
      <c r="H17" s="29"/>
      <c r="I17" s="28"/>
      <c r="J17" s="29"/>
      <c r="K17" s="29"/>
      <c r="L17" s="29"/>
      <c r="M17" s="29"/>
      <c r="N17" s="29"/>
      <c r="O17" s="29"/>
      <c r="P17" s="29"/>
      <c r="Q17" s="29"/>
      <c r="R17" s="29"/>
    </row>
    <row r="18" spans="2:18" ht="12.75" customHeight="1" x14ac:dyDescent="0.2">
      <c r="B18" s="68" t="str">
        <f>B6</f>
        <v>Class A2</v>
      </c>
      <c r="C18" s="61">
        <f>'RA-10'!V108</f>
        <v>-0.12087729146007993</v>
      </c>
      <c r="D18" s="62">
        <f>'RA-10'!W108</f>
        <v>-7.1389573685304589E-2</v>
      </c>
      <c r="E18" s="63">
        <f>'RA-10'!X108</f>
        <v>-2.8938447695803633E-2</v>
      </c>
      <c r="F18" s="64">
        <f>'RA-10'!S108</f>
        <v>1.025163700321434</v>
      </c>
      <c r="G18" s="65">
        <f>'RA-10'!T108</f>
        <v>0.99803575613972206</v>
      </c>
      <c r="H18" s="29"/>
      <c r="I18" s="28"/>
      <c r="J18" s="29"/>
      <c r="K18" s="29"/>
      <c r="L18" s="29"/>
      <c r="M18" s="29"/>
      <c r="N18" s="29"/>
      <c r="O18" s="29"/>
      <c r="P18" s="29"/>
      <c r="Q18" s="29"/>
      <c r="R18" s="29"/>
    </row>
    <row r="19" spans="2:18" ht="12.75" customHeight="1" x14ac:dyDescent="0.2">
      <c r="B19" s="68" t="str">
        <f>B7</f>
        <v>Class B</v>
      </c>
      <c r="C19" s="61" t="e">
        <f>'RA-10'!V109</f>
        <v>#VALUE!</v>
      </c>
      <c r="D19" s="62">
        <f>'RA-10'!W109</f>
        <v>-0.12851723650801303</v>
      </c>
      <c r="E19" s="63">
        <f>'RA-10'!X109</f>
        <v>-0.20191394724262257</v>
      </c>
      <c r="F19" s="64">
        <f>'RA-10'!S109</f>
        <v>1.0158236873267172</v>
      </c>
      <c r="G19" s="65">
        <f>'RA-10'!T109</f>
        <v>1.0054011634005542</v>
      </c>
      <c r="H19" s="29"/>
    </row>
    <row r="20" spans="2:18" ht="12.75" customHeight="1" x14ac:dyDescent="0.2">
      <c r="B20" s="68" t="str">
        <f>B8</f>
        <v>Class C</v>
      </c>
      <c r="C20" s="61" t="e">
        <f>'RA-10'!V110</f>
        <v>#VALUE!</v>
      </c>
      <c r="D20" s="62">
        <f>'RA-10'!W110</f>
        <v>-1.4148519772724855E-2</v>
      </c>
      <c r="E20" s="63">
        <f>'RA-10'!X110</f>
        <v>2.4850167135714862E-5</v>
      </c>
      <c r="F20" s="64">
        <f>'RA-10'!S110</f>
        <v>1.0115837624149788</v>
      </c>
      <c r="G20" s="65">
        <f>'RA-10'!T110</f>
        <v>1.0055456868205173</v>
      </c>
      <c r="H20" s="29"/>
      <c r="I20" s="28"/>
    </row>
    <row r="21" spans="2:18" ht="12.75" customHeight="1" thickBot="1" x14ac:dyDescent="0.25">
      <c r="B21" s="68" t="str">
        <f>B9</f>
        <v>Class E</v>
      </c>
      <c r="C21" s="61"/>
      <c r="D21" s="62"/>
      <c r="E21" s="63"/>
      <c r="F21" s="64"/>
      <c r="G21" s="65"/>
      <c r="H21" s="29"/>
    </row>
    <row r="22" spans="2:18" ht="12.75" customHeight="1" thickBot="1" x14ac:dyDescent="0.25">
      <c r="B22" s="92" t="s">
        <v>15</v>
      </c>
      <c r="C22" s="56" t="e">
        <f>'RA-10'!V114</f>
        <v>#VALUE!</v>
      </c>
      <c r="D22" s="57">
        <f>'RA-10'!W114</f>
        <v>-0.11656623099672518</v>
      </c>
      <c r="E22" s="58">
        <f>'RA-10'!X114</f>
        <v>-9.2659349205317917E-2</v>
      </c>
      <c r="F22" s="59">
        <f>'RA-10'!S114</f>
        <v>1.012069326760449</v>
      </c>
      <c r="G22" s="60">
        <f>'RA-10'!T114</f>
        <v>0.99338747996061805</v>
      </c>
      <c r="H22" s="29"/>
      <c r="I22" s="28"/>
      <c r="J22" s="108"/>
      <c r="K22" s="108"/>
      <c r="L22" s="108"/>
      <c r="M22" s="108"/>
      <c r="N22" s="108"/>
      <c r="O22" s="108"/>
      <c r="P22" s="108"/>
      <c r="Q22" s="108"/>
      <c r="R22" s="108"/>
    </row>
    <row r="23" spans="2:18" ht="12.75" customHeight="1" x14ac:dyDescent="0.2">
      <c r="B23" s="67" t="str">
        <f>B11</f>
        <v>Class D</v>
      </c>
      <c r="C23" s="56">
        <f>'RA-10'!V111</f>
        <v>-0.1052389329040864</v>
      </c>
      <c r="D23" s="57">
        <f>'RA-10'!W111</f>
        <v>-0.10543633335954161</v>
      </c>
      <c r="E23" s="58">
        <f>'RA-10'!X111</f>
        <v>-2.3120509449629706E-2</v>
      </c>
      <c r="F23" s="70">
        <f>'RA-10'!S111</f>
        <v>1.0218423952577602</v>
      </c>
      <c r="G23" s="60">
        <f>'RA-10'!T111</f>
        <v>1.0066810128634227</v>
      </c>
      <c r="H23" s="29"/>
      <c r="J23" s="108"/>
      <c r="K23" s="108"/>
      <c r="L23" s="108"/>
      <c r="M23" s="108"/>
      <c r="N23" s="108"/>
      <c r="O23" s="108"/>
      <c r="P23" s="108"/>
      <c r="Q23" s="108"/>
      <c r="R23" s="108"/>
    </row>
    <row r="24" spans="2:18" ht="12.75" customHeight="1" thickBot="1" x14ac:dyDescent="0.25">
      <c r="B24" s="93" t="str">
        <f>B12</f>
        <v>Class F</v>
      </c>
      <c r="C24" s="95">
        <f>'RA-10'!V113</f>
        <v>-0.13984910157765043</v>
      </c>
      <c r="D24" s="96">
        <f>'RA-10'!W113</f>
        <v>-0.16293747492000329</v>
      </c>
      <c r="E24" s="99">
        <f>'RA-10'!X113</f>
        <v>-5.6213595071730932E-2</v>
      </c>
      <c r="F24" s="97">
        <f>'RA-10'!S113</f>
        <v>1.0033532924948332</v>
      </c>
      <c r="G24" s="98">
        <f>'RA-10'!T113</f>
        <v>0.9631749754200305</v>
      </c>
      <c r="H24" s="29"/>
      <c r="I24" s="100"/>
    </row>
    <row r="25" spans="2:18" ht="12.75" customHeight="1" thickBot="1" x14ac:dyDescent="0.25">
      <c r="C25" s="15"/>
      <c r="D25" s="15"/>
      <c r="E25" s="15"/>
      <c r="F25" s="15"/>
      <c r="G25" s="15"/>
    </row>
    <row r="26" spans="2:18" ht="12.75" customHeight="1" thickBot="1" x14ac:dyDescent="0.25">
      <c r="C26" s="104"/>
      <c r="D26" s="105"/>
      <c r="E26" s="107" t="s">
        <v>16</v>
      </c>
      <c r="F26" s="105"/>
      <c r="G26" s="106"/>
      <c r="I26" s="28"/>
    </row>
    <row r="27" spans="2:18" ht="12.75" customHeight="1" x14ac:dyDescent="0.2">
      <c r="C27" s="101"/>
      <c r="D27" s="102"/>
      <c r="E27" s="102" t="str">
        <f>CONCATENATE("Over ", $J$3)</f>
        <v xml:space="preserve">Over </v>
      </c>
      <c r="F27" s="102"/>
      <c r="G27" s="103"/>
    </row>
    <row r="28" spans="2:18" ht="12.75" customHeight="1" thickBot="1" x14ac:dyDescent="0.25">
      <c r="C28" s="51" t="s">
        <v>1</v>
      </c>
      <c r="D28" s="52" t="s">
        <v>2</v>
      </c>
      <c r="E28" s="53" t="s">
        <v>3</v>
      </c>
      <c r="F28" s="54" t="s">
        <v>4</v>
      </c>
      <c r="G28" s="55" t="s">
        <v>5</v>
      </c>
      <c r="I28" s="28"/>
    </row>
    <row r="29" spans="2:18" ht="12.75" customHeight="1" x14ac:dyDescent="0.2">
      <c r="B29" s="67" t="str">
        <f>B5</f>
        <v>Class A1</v>
      </c>
      <c r="C29" s="56"/>
      <c r="D29" s="57"/>
      <c r="E29" s="58"/>
      <c r="F29" s="59"/>
      <c r="G29" s="60"/>
      <c r="H29" s="29"/>
      <c r="I29" s="28"/>
    </row>
    <row r="30" spans="2:18" ht="12.75" customHeight="1" x14ac:dyDescent="0.2">
      <c r="B30" s="68" t="str">
        <f>B6</f>
        <v>Class A2</v>
      </c>
      <c r="C30" s="61"/>
      <c r="D30" s="62"/>
      <c r="E30" s="63"/>
      <c r="F30" s="64"/>
      <c r="G30" s="65"/>
      <c r="H30" s="29"/>
    </row>
    <row r="31" spans="2:18" ht="12.75" customHeight="1" x14ac:dyDescent="0.2">
      <c r="B31" s="68" t="str">
        <f>B7</f>
        <v>Class B</v>
      </c>
      <c r="C31" s="61" t="e">
        <f>'LDB-10'!V109</f>
        <v>#VALUE!</v>
      </c>
      <c r="D31" s="62" t="e">
        <f>'LDB-10'!W109</f>
        <v>#VALUE!</v>
      </c>
      <c r="E31" s="63" t="e">
        <f>'LDB-10'!X109</f>
        <v>#VALUE!</v>
      </c>
      <c r="F31" s="64" t="e">
        <f>'LDB-10'!S109</f>
        <v>#DIV/0!</v>
      </c>
      <c r="G31" s="65" t="e">
        <f>'LDB-10'!T109</f>
        <v>#DIV/0!</v>
      </c>
      <c r="H31" s="29"/>
      <c r="I31" s="28"/>
    </row>
    <row r="32" spans="2:18" ht="12.75" customHeight="1" x14ac:dyDescent="0.2">
      <c r="B32" s="68" t="str">
        <f>B8</f>
        <v>Class C</v>
      </c>
      <c r="C32" s="61" t="e">
        <f>'LDB-10'!V110</f>
        <v>#VALUE!</v>
      </c>
      <c r="D32" s="62" t="e">
        <f>'LDB-10'!W110</f>
        <v>#VALUE!</v>
      </c>
      <c r="E32" s="63" t="e">
        <f>'LDB-10'!X110</f>
        <v>#VALUE!</v>
      </c>
      <c r="F32" s="64" t="e">
        <f>'LDB-10'!S110</f>
        <v>#DIV/0!</v>
      </c>
      <c r="G32" s="65" t="e">
        <f>'LDB-10'!T110</f>
        <v>#DIV/0!</v>
      </c>
      <c r="H32" s="29"/>
    </row>
    <row r="33" spans="2:10" ht="12.75" customHeight="1" thickBot="1" x14ac:dyDescent="0.25">
      <c r="B33" s="68" t="str">
        <f>B9</f>
        <v>Class E</v>
      </c>
      <c r="C33" s="61" t="e">
        <f>'LDB-10'!V112</f>
        <v>#VALUE!</v>
      </c>
      <c r="D33" s="62" t="e">
        <f>'LDB-10'!W112</f>
        <v>#VALUE!</v>
      </c>
      <c r="E33" s="63" t="e">
        <f>'LDB-10'!X112</f>
        <v>#VALUE!</v>
      </c>
      <c r="F33" s="64" t="e">
        <f>'LDB-10'!S112</f>
        <v>#DIV/0!</v>
      </c>
      <c r="G33" s="65" t="e">
        <f>'LDB-10'!T112</f>
        <v>#DIV/0!</v>
      </c>
      <c r="H33" s="29"/>
      <c r="I33" s="28"/>
      <c r="J33" s="29"/>
    </row>
    <row r="34" spans="2:10" ht="12.75" customHeight="1" thickBot="1" x14ac:dyDescent="0.25">
      <c r="B34" s="92" t="s">
        <v>15</v>
      </c>
      <c r="C34" s="56" t="e">
        <f>'LDB-10'!V114</f>
        <v>#VALUE!</v>
      </c>
      <c r="D34" s="57" t="e">
        <f>'LDB-10'!W114</f>
        <v>#VALUE!</v>
      </c>
      <c r="E34" s="58" t="e">
        <f>'LDB-10'!X114</f>
        <v>#VALUE!</v>
      </c>
      <c r="F34" s="59" t="e">
        <f>'LDB-10'!S114</f>
        <v>#DIV/0!</v>
      </c>
      <c r="G34" s="60" t="e">
        <f>'LDB-10'!T114</f>
        <v>#DIV/0!</v>
      </c>
      <c r="H34" s="29"/>
    </row>
    <row r="35" spans="2:10" ht="12.75" customHeight="1" x14ac:dyDescent="0.2">
      <c r="B35" s="94" t="str">
        <f>B11</f>
        <v>Class D</v>
      </c>
      <c r="C35" s="56" t="e">
        <f>'LDB-10'!V111</f>
        <v>#VALUE!</v>
      </c>
      <c r="D35" s="57" t="e">
        <f>'LDB-10'!W111</f>
        <v>#VALUE!</v>
      </c>
      <c r="E35" s="58" t="e">
        <f>'LDB-10'!X111</f>
        <v>#VALUE!</v>
      </c>
      <c r="F35" s="70" t="e">
        <f>'LDB-10'!S111</f>
        <v>#DIV/0!</v>
      </c>
      <c r="G35" s="60" t="e">
        <f>'LDB-10'!T111</f>
        <v>#DIV/0!</v>
      </c>
      <c r="H35" s="29"/>
    </row>
    <row r="36" spans="2:10" ht="12.75" customHeight="1" thickBot="1" x14ac:dyDescent="0.25">
      <c r="B36" s="51" t="str">
        <f>B12</f>
        <v>Class F</v>
      </c>
      <c r="C36" s="95" t="e">
        <f>'LDB-10'!V113</f>
        <v>#VALUE!</v>
      </c>
      <c r="D36" s="96" t="e">
        <f>'LDB-10'!W113</f>
        <v>#VALUE!</v>
      </c>
      <c r="E36" s="99" t="e">
        <f>'LDB-10'!X113</f>
        <v>#VALUE!</v>
      </c>
      <c r="F36" s="97" t="e">
        <f>'LDB-10'!S113</f>
        <v>#DIV/0!</v>
      </c>
      <c r="G36" s="98" t="e">
        <f>'LDB-10'!T113</f>
        <v>#DIV/0!</v>
      </c>
      <c r="H36" s="29"/>
    </row>
    <row r="37" spans="2:10" ht="12.75" customHeight="1" thickBot="1" x14ac:dyDescent="0.25">
      <c r="C37" s="15"/>
      <c r="D37" s="15"/>
      <c r="E37" s="15"/>
      <c r="F37" s="15"/>
      <c r="G37" s="15"/>
    </row>
    <row r="38" spans="2:10" ht="12.75" customHeight="1" thickBot="1" x14ac:dyDescent="0.25">
      <c r="C38" s="104"/>
      <c r="D38" s="105"/>
      <c r="E38" s="107" t="s">
        <v>17</v>
      </c>
      <c r="F38" s="105"/>
      <c r="G38" s="106"/>
    </row>
    <row r="39" spans="2:10" ht="12.75" customHeight="1" x14ac:dyDescent="0.2">
      <c r="C39" s="101"/>
      <c r="D39" s="102"/>
      <c r="E39" s="102" t="str">
        <f>CONCATENATE("Over ", $J$3)</f>
        <v xml:space="preserve">Over </v>
      </c>
      <c r="F39" s="102"/>
      <c r="G39" s="103"/>
    </row>
    <row r="40" spans="2:10" ht="12.75" customHeight="1" thickBot="1" x14ac:dyDescent="0.25">
      <c r="C40" s="51" t="s">
        <v>1</v>
      </c>
      <c r="D40" s="52" t="s">
        <v>2</v>
      </c>
      <c r="E40" s="53" t="s">
        <v>3</v>
      </c>
      <c r="F40" s="54" t="s">
        <v>4</v>
      </c>
      <c r="G40" s="55" t="s">
        <v>5</v>
      </c>
      <c r="I40" s="28"/>
      <c r="J40" s="28"/>
    </row>
    <row r="41" spans="2:10" ht="12.75" customHeight="1" x14ac:dyDescent="0.2">
      <c r="B41" s="67" t="str">
        <f>B5</f>
        <v>Class A1</v>
      </c>
      <c r="C41" s="56"/>
      <c r="D41" s="57"/>
      <c r="E41" s="58"/>
      <c r="F41" s="59"/>
      <c r="G41" s="60"/>
    </row>
    <row r="42" spans="2:10" ht="12.75" customHeight="1" x14ac:dyDescent="0.2">
      <c r="B42" s="68" t="str">
        <f>B6</f>
        <v>Class A2</v>
      </c>
      <c r="C42" s="61"/>
      <c r="D42" s="62"/>
      <c r="E42" s="63"/>
      <c r="F42" s="64"/>
      <c r="G42" s="65"/>
    </row>
    <row r="43" spans="2:10" ht="12.75" customHeight="1" x14ac:dyDescent="0.2">
      <c r="B43" s="68" t="str">
        <f>B7</f>
        <v>Class B</v>
      </c>
      <c r="C43" s="61" t="e">
        <f>'LDP-10'!V109</f>
        <v>#VALUE!</v>
      </c>
      <c r="D43" s="62" t="e">
        <f>'LDP-10'!W109</f>
        <v>#VALUE!</v>
      </c>
      <c r="E43" s="63" t="e">
        <f>'LDP-10'!X109</f>
        <v>#VALUE!</v>
      </c>
      <c r="F43" s="64" t="e">
        <f>'LDP-10'!S109</f>
        <v>#DIV/0!</v>
      </c>
      <c r="G43" s="65" t="e">
        <f>'LDP-10'!T109</f>
        <v>#DIV/0!</v>
      </c>
    </row>
    <row r="44" spans="2:10" ht="12.75" customHeight="1" x14ac:dyDescent="0.2">
      <c r="B44" s="68" t="str">
        <f>B8</f>
        <v>Class C</v>
      </c>
      <c r="C44" s="61" t="e">
        <f>'LDP-10'!V110</f>
        <v>#VALUE!</v>
      </c>
      <c r="D44" s="62" t="e">
        <f>'LDP-10'!W110</f>
        <v>#VALUE!</v>
      </c>
      <c r="E44" s="63" t="e">
        <f>'LDP-10'!X110</f>
        <v>#VALUE!</v>
      </c>
      <c r="F44" s="64" t="e">
        <f>'LDP-10'!S110</f>
        <v>#DIV/0!</v>
      </c>
      <c r="G44" s="65" t="e">
        <f>'LDP-10'!T110</f>
        <v>#DIV/0!</v>
      </c>
    </row>
    <row r="45" spans="2:10" ht="12.75" customHeight="1" thickBot="1" x14ac:dyDescent="0.25">
      <c r="B45" s="68" t="str">
        <f>B9</f>
        <v>Class E</v>
      </c>
      <c r="C45" s="61" t="e">
        <f>'LDP-10'!V112</f>
        <v>#VALUE!</v>
      </c>
      <c r="D45" s="62" t="e">
        <f>'LDP-10'!W112</f>
        <v>#VALUE!</v>
      </c>
      <c r="E45" s="63" t="e">
        <f>'LDP-10'!X112</f>
        <v>#VALUE!</v>
      </c>
      <c r="F45" s="64" t="e">
        <f>'LDP-10'!S112</f>
        <v>#DIV/0!</v>
      </c>
      <c r="G45" s="65" t="e">
        <f>'LDP-10'!T112</f>
        <v>#DIV/0!</v>
      </c>
    </row>
    <row r="46" spans="2:10" ht="12.75" customHeight="1" thickBot="1" x14ac:dyDescent="0.25">
      <c r="B46" s="92" t="s">
        <v>15</v>
      </c>
      <c r="C46" s="56" t="e">
        <f>'LDP-10'!V114</f>
        <v>#VALUE!</v>
      </c>
      <c r="D46" s="57" t="e">
        <f>'LDP-10'!W114</f>
        <v>#VALUE!</v>
      </c>
      <c r="E46" s="58" t="e">
        <f>'LDP-10'!X114</f>
        <v>#VALUE!</v>
      </c>
      <c r="F46" s="59" t="e">
        <f>'LDP-10'!S114</f>
        <v>#DIV/0!</v>
      </c>
      <c r="G46" s="60" t="e">
        <f>'LDP-10'!T114</f>
        <v>#DIV/0!</v>
      </c>
    </row>
    <row r="47" spans="2:10" ht="12.75" customHeight="1" x14ac:dyDescent="0.2">
      <c r="B47" s="94" t="str">
        <f>B11</f>
        <v>Class D</v>
      </c>
      <c r="C47" s="56" t="e">
        <f>'LDP-10'!V111</f>
        <v>#VALUE!</v>
      </c>
      <c r="D47" s="57" t="e">
        <f>'LDP-10'!W111</f>
        <v>#VALUE!</v>
      </c>
      <c r="E47" s="58" t="e">
        <f>'LDP-10'!X111</f>
        <v>#VALUE!</v>
      </c>
      <c r="F47" s="70" t="e">
        <f>'LDP-10'!S111</f>
        <v>#DIV/0!</v>
      </c>
      <c r="G47" s="60" t="e">
        <f>'LDP-10'!T111</f>
        <v>#DIV/0!</v>
      </c>
    </row>
    <row r="48" spans="2:10" ht="12.75" customHeight="1" thickBot="1" x14ac:dyDescent="0.25">
      <c r="B48" s="51" t="str">
        <f>B12</f>
        <v>Class F</v>
      </c>
      <c r="C48" s="95" t="e">
        <f>'LDP-10'!V113</f>
        <v>#VALUE!</v>
      </c>
      <c r="D48" s="96" t="e">
        <f>'LDP-10'!W113</f>
        <v>#VALUE!</v>
      </c>
      <c r="E48" s="99" t="e">
        <f>'LDP-10'!X113</f>
        <v>#VALUE!</v>
      </c>
      <c r="F48" s="97" t="e">
        <f>'LDP-10'!S113</f>
        <v>#DIV/0!</v>
      </c>
      <c r="G48" s="98" t="e">
        <f>'LDP-10'!T113</f>
        <v>#DIV/0!</v>
      </c>
    </row>
  </sheetData>
  <phoneticPr fontId="9" type="noConversion"/>
  <conditionalFormatting sqref="C9:E9 C12:E12">
    <cfRule type="cellIs" dxfId="1001" priority="339" stopIfTrue="1" operator="greaterThan">
      <formula>0.03</formula>
    </cfRule>
    <cfRule type="cellIs" dxfId="1000" priority="340" stopIfTrue="1" operator="lessThan">
      <formula>-0.03</formula>
    </cfRule>
  </conditionalFormatting>
  <conditionalFormatting sqref="C10:E10">
    <cfRule type="cellIs" dxfId="999" priority="265" stopIfTrue="1" operator="greaterThan">
      <formula>0.03</formula>
    </cfRule>
    <cfRule type="cellIs" dxfId="998" priority="266" stopIfTrue="1" operator="lessThan">
      <formula>-0.03</formula>
    </cfRule>
  </conditionalFormatting>
  <conditionalFormatting sqref="C5:E5 C7:E8">
    <cfRule type="cellIs" dxfId="997" priority="263" stopIfTrue="1" operator="greaterThan">
      <formula>0.03</formula>
    </cfRule>
    <cfRule type="cellIs" dxfId="996" priority="264" stopIfTrue="1" operator="lessThan">
      <formula>-0.03</formula>
    </cfRule>
  </conditionalFormatting>
  <conditionalFormatting sqref="C6:E6">
    <cfRule type="cellIs" dxfId="995" priority="79" stopIfTrue="1" operator="greaterThan">
      <formula>0.03</formula>
    </cfRule>
    <cfRule type="cellIs" dxfId="994" priority="80" stopIfTrue="1" operator="lessThan">
      <formula>-0.03</formula>
    </cfRule>
  </conditionalFormatting>
  <conditionalFormatting sqref="C21:E21 C24:E24">
    <cfRule type="cellIs" dxfId="993" priority="63" stopIfTrue="1" operator="greaterThan">
      <formula>0.03</formula>
    </cfRule>
    <cfRule type="cellIs" dxfId="992" priority="64" stopIfTrue="1" operator="lessThan">
      <formula>-0.03</formula>
    </cfRule>
  </conditionalFormatting>
  <conditionalFormatting sqref="C22:E22">
    <cfRule type="cellIs" dxfId="991" priority="61" stopIfTrue="1" operator="greaterThan">
      <formula>0.03</formula>
    </cfRule>
    <cfRule type="cellIs" dxfId="990" priority="62" stopIfTrue="1" operator="lessThan">
      <formula>-0.03</formula>
    </cfRule>
  </conditionalFormatting>
  <conditionalFormatting sqref="C17:E17 C19:E20">
    <cfRule type="cellIs" dxfId="989" priority="59" stopIfTrue="1" operator="greaterThan">
      <formula>0.03</formula>
    </cfRule>
    <cfRule type="cellIs" dxfId="988" priority="60" stopIfTrue="1" operator="lessThan">
      <formula>-0.03</formula>
    </cfRule>
  </conditionalFormatting>
  <conditionalFormatting sqref="C18:E18">
    <cfRule type="cellIs" dxfId="987" priority="51" stopIfTrue="1" operator="greaterThan">
      <formula>0.03</formula>
    </cfRule>
    <cfRule type="cellIs" dxfId="986" priority="52" stopIfTrue="1" operator="lessThan">
      <formula>-0.03</formula>
    </cfRule>
  </conditionalFormatting>
  <conditionalFormatting sqref="C33:E33 C36:E36">
    <cfRule type="cellIs" dxfId="985" priority="47" stopIfTrue="1" operator="greaterThan">
      <formula>0.03</formula>
    </cfRule>
    <cfRule type="cellIs" dxfId="984" priority="48" stopIfTrue="1" operator="lessThan">
      <formula>-0.03</formula>
    </cfRule>
  </conditionalFormatting>
  <conditionalFormatting sqref="C34:E34">
    <cfRule type="cellIs" dxfId="983" priority="45" stopIfTrue="1" operator="greaterThan">
      <formula>0.03</formula>
    </cfRule>
    <cfRule type="cellIs" dxfId="982" priority="46" stopIfTrue="1" operator="lessThan">
      <formula>-0.03</formula>
    </cfRule>
  </conditionalFormatting>
  <conditionalFormatting sqref="C29:E29 C31:E32">
    <cfRule type="cellIs" dxfId="981" priority="43" stopIfTrue="1" operator="greaterThan">
      <formula>0.03</formula>
    </cfRule>
    <cfRule type="cellIs" dxfId="980" priority="44" stopIfTrue="1" operator="lessThan">
      <formula>-0.03</formula>
    </cfRule>
  </conditionalFormatting>
  <conditionalFormatting sqref="C30:E30">
    <cfRule type="cellIs" dxfId="979" priority="35" stopIfTrue="1" operator="greaterThan">
      <formula>0.03</formula>
    </cfRule>
    <cfRule type="cellIs" dxfId="978" priority="36" stopIfTrue="1" operator="lessThan">
      <formula>-0.03</formula>
    </cfRule>
  </conditionalFormatting>
  <conditionalFormatting sqref="C45:E45 C48:E48">
    <cfRule type="cellIs" dxfId="977" priority="31" stopIfTrue="1" operator="greaterThan">
      <formula>0.03</formula>
    </cfRule>
    <cfRule type="cellIs" dxfId="976" priority="32" stopIfTrue="1" operator="lessThan">
      <formula>-0.03</formula>
    </cfRule>
  </conditionalFormatting>
  <conditionalFormatting sqref="C46:E46">
    <cfRule type="cellIs" dxfId="975" priority="29" stopIfTrue="1" operator="greaterThan">
      <formula>0.03</formula>
    </cfRule>
    <cfRule type="cellIs" dxfId="974" priority="30" stopIfTrue="1" operator="lessThan">
      <formula>-0.03</formula>
    </cfRule>
  </conditionalFormatting>
  <conditionalFormatting sqref="C41:E41 C43:E44">
    <cfRule type="cellIs" dxfId="973" priority="27" stopIfTrue="1" operator="greaterThan">
      <formula>0.03</formula>
    </cfRule>
    <cfRule type="cellIs" dxfId="972" priority="28" stopIfTrue="1" operator="lessThan">
      <formula>-0.03</formula>
    </cfRule>
  </conditionalFormatting>
  <conditionalFormatting sqref="C42:E42">
    <cfRule type="cellIs" dxfId="971" priority="19" stopIfTrue="1" operator="greaterThan">
      <formula>0.03</formula>
    </cfRule>
    <cfRule type="cellIs" dxfId="970" priority="20" stopIfTrue="1" operator="lessThan">
      <formula>-0.03</formula>
    </cfRule>
  </conditionalFormatting>
  <conditionalFormatting sqref="C11:E11">
    <cfRule type="cellIs" dxfId="969" priority="15" stopIfTrue="1" operator="greaterThan">
      <formula>0.03</formula>
    </cfRule>
    <cfRule type="cellIs" dxfId="968" priority="16" stopIfTrue="1" operator="lessThan">
      <formula>-0.03</formula>
    </cfRule>
  </conditionalFormatting>
  <conditionalFormatting sqref="C23:E23">
    <cfRule type="cellIs" dxfId="967" priority="11" stopIfTrue="1" operator="greaterThan">
      <formula>0.03</formula>
    </cfRule>
    <cfRule type="cellIs" dxfId="966" priority="12" stopIfTrue="1" operator="lessThan">
      <formula>-0.03</formula>
    </cfRule>
  </conditionalFormatting>
  <conditionalFormatting sqref="C35:E35">
    <cfRule type="cellIs" dxfId="965" priority="7" stopIfTrue="1" operator="greaterThan">
      <formula>0.03</formula>
    </cfRule>
    <cfRule type="cellIs" dxfId="964" priority="8" stopIfTrue="1" operator="lessThan">
      <formula>-0.03</formula>
    </cfRule>
  </conditionalFormatting>
  <conditionalFormatting sqref="C47:E47">
    <cfRule type="cellIs" dxfId="963" priority="3" stopIfTrue="1" operator="greaterThan">
      <formula>0.03</formula>
    </cfRule>
    <cfRule type="cellIs" dxfId="96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86"/>
  <sheetViews>
    <sheetView workbookViewId="0">
      <selection activeCell="T60" sqref="T60"/>
    </sheetView>
  </sheetViews>
  <sheetFormatPr defaultColWidth="8.875" defaultRowHeight="14.25" x14ac:dyDescent="0.15"/>
  <cols>
    <col min="2" max="2" width="21.375" style="21" customWidth="1"/>
    <col min="25" max="26" width="9" style="21" customWidth="1"/>
    <col min="27" max="27" width="16.375" style="21" bestFit="1" customWidth="1"/>
    <col min="28" max="39" width="9" style="21" customWidth="1"/>
  </cols>
  <sheetData>
    <row r="1" spans="1:38" ht="16.5" customHeight="1" thickBot="1" x14ac:dyDescent="0.2">
      <c r="A1" t="s">
        <v>18</v>
      </c>
      <c r="AD1" t="s">
        <v>19</v>
      </c>
      <c r="AI1" t="s">
        <v>20</v>
      </c>
    </row>
    <row r="2" spans="1:38" ht="16.5" customHeight="1" thickBot="1" x14ac:dyDescent="0.25">
      <c r="A2" s="20" t="s">
        <v>21</v>
      </c>
      <c r="B2" s="20" t="s">
        <v>44</v>
      </c>
      <c r="AD2" s="3" t="s">
        <v>23</v>
      </c>
      <c r="AE2" s="4" t="s">
        <v>24</v>
      </c>
      <c r="AF2" s="4" t="s">
        <v>25</v>
      </c>
      <c r="AG2" s="4" t="s">
        <v>26</v>
      </c>
      <c r="AI2" s="3" t="s">
        <v>23</v>
      </c>
      <c r="AJ2" s="4" t="s">
        <v>24</v>
      </c>
      <c r="AK2" s="4" t="s">
        <v>25</v>
      </c>
      <c r="AL2" s="4" t="s">
        <v>26</v>
      </c>
    </row>
    <row r="3" spans="1:38" x14ac:dyDescent="0.15">
      <c r="Z3" t="s">
        <v>27</v>
      </c>
      <c r="AA3" t="s">
        <v>22</v>
      </c>
      <c r="AB3">
        <v>3</v>
      </c>
      <c r="AC3">
        <f>VLOOKUP(B2,AA3:AB43,2,FALSE)</f>
        <v>47</v>
      </c>
      <c r="AD3">
        <f ca="1">INDIRECT("'"&amp;$A$2&amp;"'!"&amp;ADDRESS($AC3,4))</f>
        <v>29328.799999999999</v>
      </c>
      <c r="AE3">
        <f ca="1">INDIRECT("'"&amp;$A$2&amp;"'!"&amp;ADDRESS($AC3,5))</f>
        <v>45.1631</v>
      </c>
      <c r="AF3">
        <f ca="1">INDIRECT("'"&amp;$A$2&amp;"'!"&amp;ADDRESS($AC3,6))</f>
        <v>46.451999999999998</v>
      </c>
      <c r="AG3">
        <f ca="1">INDIRECT("'"&amp;$A$2&amp;"'!"&amp;ADDRESS($AC3,7))</f>
        <v>47.651400000000002</v>
      </c>
      <c r="AI3">
        <f ca="1">INDIRECT("'"&amp;$A$2&amp;"'!"&amp;ADDRESS($AC3,12))</f>
        <v>29296.799999999999</v>
      </c>
      <c r="AJ3">
        <f ca="1">INDIRECT("'"&amp;$A$2&amp;"'!"&amp;ADDRESS($AC3,13))</f>
        <v>45.168999999999997</v>
      </c>
      <c r="AK3">
        <f ca="1">INDIRECT("'"&amp;$A$2&amp;"'!"&amp;ADDRESS($AC3,14))</f>
        <v>46.417999999999999</v>
      </c>
      <c r="AL3">
        <f ca="1">INDIRECT("'"&amp;$A$2&amp;"'!"&amp;ADDRESS($AC3,15))</f>
        <v>47.594999999999999</v>
      </c>
    </row>
    <row r="4" spans="1:38" x14ac:dyDescent="0.15">
      <c r="Z4" t="s">
        <v>21</v>
      </c>
      <c r="AA4" t="s">
        <v>28</v>
      </c>
      <c r="AB4">
        <f t="shared" ref="AB4:AB28" si="0">AB3+4</f>
        <v>7</v>
      </c>
      <c r="AC4">
        <f>AC3+1</f>
        <v>48</v>
      </c>
      <c r="AD4">
        <f ca="1">INDIRECT("'"&amp;$A$2&amp;"'!"&amp;ADDRESS($AC4,4))</f>
        <v>15431.6</v>
      </c>
      <c r="AE4">
        <f ca="1">INDIRECT("'"&amp;$A$2&amp;"'!"&amp;ADDRESS($AC4,5))</f>
        <v>41.675899999999999</v>
      </c>
      <c r="AF4">
        <f ca="1">INDIRECT("'"&amp;$A$2&amp;"'!"&amp;ADDRESS($AC4,6))</f>
        <v>44.579599999999999</v>
      </c>
      <c r="AG4">
        <f ca="1">INDIRECT("'"&amp;$A$2&amp;"'!"&amp;ADDRESS($AC4,7))</f>
        <v>45.7515</v>
      </c>
      <c r="AI4">
        <f ca="1">INDIRECT("'"&amp;$A$2&amp;"'!"&amp;ADDRESS($AC4,12))</f>
        <v>15417.6</v>
      </c>
      <c r="AJ4">
        <f ca="1">INDIRECT("'"&amp;$A$2&amp;"'!"&amp;ADDRESS($AC4,13))</f>
        <v>41.671999999999997</v>
      </c>
      <c r="AK4">
        <f ca="1">INDIRECT("'"&amp;$A$2&amp;"'!"&amp;ADDRESS($AC4,14))</f>
        <v>44.527999999999999</v>
      </c>
      <c r="AL4">
        <f ca="1">INDIRECT("'"&amp;$A$2&amp;"'!"&amp;ADDRESS($AC4,15))</f>
        <v>45.633000000000003</v>
      </c>
    </row>
    <row r="5" spans="1:38" x14ac:dyDescent="0.15">
      <c r="Z5" t="s">
        <v>29</v>
      </c>
      <c r="AA5" t="s">
        <v>30</v>
      </c>
      <c r="AB5">
        <f t="shared" si="0"/>
        <v>11</v>
      </c>
      <c r="AC5">
        <f>AC4+1</f>
        <v>49</v>
      </c>
      <c r="AD5">
        <f ca="1">INDIRECT("'"&amp;$A$2&amp;"'!"&amp;ADDRESS($AC5,4))</f>
        <v>8179.6</v>
      </c>
      <c r="AE5">
        <f ca="1">INDIRECT("'"&amp;$A$2&amp;"'!"&amp;ADDRESS($AC5,5))</f>
        <v>38.5991</v>
      </c>
      <c r="AF5">
        <f ca="1">INDIRECT("'"&amp;$A$2&amp;"'!"&amp;ADDRESS($AC5,6))</f>
        <v>42.344000000000001</v>
      </c>
      <c r="AG5">
        <f ca="1">INDIRECT("'"&amp;$A$2&amp;"'!"&amp;ADDRESS($AC5,7))</f>
        <v>43.406500000000001</v>
      </c>
      <c r="AI5">
        <f ca="1">INDIRECT("'"&amp;$A$2&amp;"'!"&amp;ADDRESS($AC5,12))</f>
        <v>8142.8</v>
      </c>
      <c r="AJ5">
        <f ca="1">INDIRECT("'"&amp;$A$2&amp;"'!"&amp;ADDRESS($AC5,13))</f>
        <v>38.573700000000002</v>
      </c>
      <c r="AK5">
        <f ca="1">INDIRECT("'"&amp;$A$2&amp;"'!"&amp;ADDRESS($AC5,14))</f>
        <v>42.314100000000003</v>
      </c>
      <c r="AL5">
        <f ca="1">INDIRECT("'"&amp;$A$2&amp;"'!"&amp;ADDRESS($AC5,15))</f>
        <v>43.365000000000002</v>
      </c>
    </row>
    <row r="6" spans="1:38" x14ac:dyDescent="0.15">
      <c r="Z6" t="s">
        <v>31</v>
      </c>
      <c r="AA6" t="s">
        <v>32</v>
      </c>
      <c r="AB6">
        <f t="shared" si="0"/>
        <v>15</v>
      </c>
      <c r="AC6">
        <f>AC5+1</f>
        <v>50</v>
      </c>
      <c r="AD6">
        <f ca="1">INDIRECT("'"&amp;$A$2&amp;"'!"&amp;ADDRESS($AC6,4))</f>
        <v>4338.3999999999996</v>
      </c>
      <c r="AE6">
        <f ca="1">INDIRECT("'"&amp;$A$2&amp;"'!"&amp;ADDRESS($AC6,5))</f>
        <v>35.8645</v>
      </c>
      <c r="AF6">
        <f ca="1">INDIRECT("'"&amp;$A$2&amp;"'!"&amp;ADDRESS($AC6,6))</f>
        <v>40.104700000000001</v>
      </c>
      <c r="AG6">
        <f ca="1">INDIRECT("'"&amp;$A$2&amp;"'!"&amp;ADDRESS($AC6,7))</f>
        <v>40.803699999999999</v>
      </c>
      <c r="AI6">
        <f ca="1">INDIRECT("'"&amp;$A$2&amp;"'!"&amp;ADDRESS($AC6,12))</f>
        <v>4278</v>
      </c>
      <c r="AJ6">
        <f ca="1">INDIRECT("'"&amp;$A$2&amp;"'!"&amp;ADDRESS($AC6,13))</f>
        <v>35.832000000000001</v>
      </c>
      <c r="AK6">
        <f ca="1">INDIRECT("'"&amp;$A$2&amp;"'!"&amp;ADDRESS($AC6,14))</f>
        <v>40.043399999999998</v>
      </c>
      <c r="AL6">
        <f ca="1">INDIRECT("'"&amp;$A$2&amp;"'!"&amp;ADDRESS($AC6,15))</f>
        <v>40.807299999999998</v>
      </c>
    </row>
    <row r="7" spans="1:38" x14ac:dyDescent="0.15">
      <c r="AA7" t="s">
        <v>33</v>
      </c>
      <c r="AB7">
        <f t="shared" si="0"/>
        <v>19</v>
      </c>
    </row>
    <row r="8" spans="1:38" x14ac:dyDescent="0.15">
      <c r="AA8" t="s">
        <v>34</v>
      </c>
      <c r="AB8">
        <f t="shared" si="0"/>
        <v>23</v>
      </c>
      <c r="AD8" t="str">
        <f>"Sequence: "&amp;B2 &amp; "     Coding Conditions: " &amp; A2</f>
        <v>Sequence: BasketballDrill     Coding Conditions: RA-10</v>
      </c>
    </row>
    <row r="9" spans="1:38" x14ac:dyDescent="0.15">
      <c r="AA9" t="s">
        <v>35</v>
      </c>
      <c r="AB9">
        <f t="shared" si="0"/>
        <v>27</v>
      </c>
    </row>
    <row r="10" spans="1:38" x14ac:dyDescent="0.15">
      <c r="AA10" t="s">
        <v>36</v>
      </c>
      <c r="AB10">
        <f t="shared" si="0"/>
        <v>31</v>
      </c>
    </row>
    <row r="11" spans="1:38" x14ac:dyDescent="0.15">
      <c r="AA11" t="s">
        <v>37</v>
      </c>
      <c r="AB11">
        <f t="shared" si="0"/>
        <v>35</v>
      </c>
      <c r="AD11" t="s">
        <v>38</v>
      </c>
      <c r="AE11" t="s">
        <v>39</v>
      </c>
      <c r="AF11" t="s">
        <v>40</v>
      </c>
      <c r="AG11" t="s">
        <v>41</v>
      </c>
    </row>
    <row r="12" spans="1:38" ht="15" x14ac:dyDescent="0.2">
      <c r="AA12" t="s">
        <v>42</v>
      </c>
      <c r="AB12">
        <f t="shared" si="0"/>
        <v>39</v>
      </c>
      <c r="AD12" s="22">
        <f ca="1">MAX(AD3:AD6,AI3:AI6)</f>
        <v>29328.799999999999</v>
      </c>
      <c r="AE12" s="22">
        <f ca="1">MAX(AE3:AE6,AJ3:AJ6)</f>
        <v>45.168999999999997</v>
      </c>
      <c r="AF12" s="22">
        <f ca="1">MAX(AF3:AF6,AK3:AK6)</f>
        <v>46.451999999999998</v>
      </c>
      <c r="AG12" s="22">
        <f ca="1">MAX(AG3:AG6,AL3:AL6)</f>
        <v>47.651400000000002</v>
      </c>
    </row>
    <row r="13" spans="1:38" ht="15" x14ac:dyDescent="0.2">
      <c r="AA13" t="s">
        <v>43</v>
      </c>
      <c r="AB13">
        <f t="shared" si="0"/>
        <v>43</v>
      </c>
      <c r="AD13" s="22">
        <f ca="1">MIN(AD3:AD6,AI3:AI6)</f>
        <v>4278</v>
      </c>
      <c r="AE13" s="22">
        <f ca="1">MIN(AE3:AE6,AJ3:AJ6)</f>
        <v>35.832000000000001</v>
      </c>
      <c r="AF13" s="22">
        <f ca="1">MIN(AF3:AF6,AK3:AK6)</f>
        <v>40.043399999999998</v>
      </c>
      <c r="AG13" s="22">
        <f ca="1">MIN(AG3:AG6,AL3:AL6)</f>
        <v>40.803699999999999</v>
      </c>
    </row>
    <row r="14" spans="1:38" ht="15" x14ac:dyDescent="0.2">
      <c r="AA14" t="s">
        <v>44</v>
      </c>
      <c r="AB14">
        <f t="shared" si="0"/>
        <v>47</v>
      </c>
      <c r="AD14" s="23"/>
      <c r="AE14" s="23"/>
      <c r="AF14" s="23"/>
      <c r="AG14" s="23"/>
    </row>
    <row r="15" spans="1:38" ht="15" x14ac:dyDescent="0.2">
      <c r="AA15" t="s">
        <v>45</v>
      </c>
      <c r="AB15">
        <f t="shared" si="0"/>
        <v>51</v>
      </c>
      <c r="AD15" s="23">
        <f ca="1">POWER(10,CEILING(LOG(AD12+1),1))</f>
        <v>100000</v>
      </c>
      <c r="AE15" s="109">
        <f ca="1">CEILING(AE12+0.25,0.5)</f>
        <v>45.5</v>
      </c>
      <c r="AF15" s="109">
        <f ca="1">CEILING(AF12+0.25,0.5)</f>
        <v>47</v>
      </c>
      <c r="AG15" s="109">
        <f ca="1">CEILING(AG12+0.25,0.5)</f>
        <v>48</v>
      </c>
    </row>
    <row r="16" spans="1:38" ht="15" x14ac:dyDescent="0.2">
      <c r="AA16" t="s">
        <v>46</v>
      </c>
      <c r="AB16">
        <f t="shared" si="0"/>
        <v>55</v>
      </c>
      <c r="AD16" s="23">
        <f ca="1">POWER(10,FLOOR(LOG(AD13+10),1))</f>
        <v>1000</v>
      </c>
      <c r="AE16" s="109">
        <f ca="1">FLOOR(AE13-0.25,0.5)</f>
        <v>35.5</v>
      </c>
      <c r="AF16" s="109">
        <f ca="1">FLOOR(AF13-0.25,0.5)</f>
        <v>39.5</v>
      </c>
      <c r="AG16" s="109">
        <f ca="1">FLOOR(AG13-0.25,0.5)</f>
        <v>40.5</v>
      </c>
    </row>
    <row r="17" spans="27:28" x14ac:dyDescent="0.15">
      <c r="AA17" t="s">
        <v>47</v>
      </c>
      <c r="AB17">
        <f t="shared" si="0"/>
        <v>59</v>
      </c>
    </row>
    <row r="18" spans="27:28" x14ac:dyDescent="0.15">
      <c r="AA18" t="s">
        <v>48</v>
      </c>
      <c r="AB18">
        <f t="shared" si="0"/>
        <v>63</v>
      </c>
    </row>
    <row r="19" spans="27:28" x14ac:dyDescent="0.15">
      <c r="AA19" t="s">
        <v>49</v>
      </c>
      <c r="AB19">
        <f t="shared" si="0"/>
        <v>67</v>
      </c>
    </row>
    <row r="20" spans="27:28" x14ac:dyDescent="0.15">
      <c r="AA20" t="s">
        <v>50</v>
      </c>
      <c r="AB20">
        <f t="shared" si="0"/>
        <v>71</v>
      </c>
    </row>
    <row r="21" spans="27:28" x14ac:dyDescent="0.15">
      <c r="AA21" t="s">
        <v>51</v>
      </c>
      <c r="AB21">
        <f t="shared" si="0"/>
        <v>75</v>
      </c>
    </row>
    <row r="22" spans="27:28" x14ac:dyDescent="0.15">
      <c r="AA22" t="s">
        <v>52</v>
      </c>
      <c r="AB22">
        <f t="shared" si="0"/>
        <v>79</v>
      </c>
    </row>
    <row r="23" spans="27:28" x14ac:dyDescent="0.15">
      <c r="AA23" t="s">
        <v>53</v>
      </c>
      <c r="AB23">
        <f t="shared" si="0"/>
        <v>83</v>
      </c>
    </row>
    <row r="24" spans="27:28" x14ac:dyDescent="0.15">
      <c r="AA24" t="s">
        <v>54</v>
      </c>
      <c r="AB24">
        <f t="shared" si="0"/>
        <v>87</v>
      </c>
    </row>
    <row r="25" spans="27:28" x14ac:dyDescent="0.15">
      <c r="AA25" t="s">
        <v>55</v>
      </c>
      <c r="AB25">
        <f t="shared" si="0"/>
        <v>91</v>
      </c>
    </row>
    <row r="26" spans="27:28" x14ac:dyDescent="0.15">
      <c r="AA26" t="s">
        <v>56</v>
      </c>
      <c r="AB26">
        <f t="shared" si="0"/>
        <v>95</v>
      </c>
    </row>
    <row r="27" spans="27:28" x14ac:dyDescent="0.15">
      <c r="AA27" t="s">
        <v>57</v>
      </c>
      <c r="AB27">
        <f t="shared" si="0"/>
        <v>99</v>
      </c>
    </row>
    <row r="28" spans="27:28" x14ac:dyDescent="0.15">
      <c r="AA28" t="s">
        <v>58</v>
      </c>
      <c r="AB28">
        <f t="shared" si="0"/>
        <v>103</v>
      </c>
    </row>
    <row r="33" spans="27:27" ht="15" x14ac:dyDescent="0.2">
      <c r="AA33" s="15"/>
    </row>
    <row r="34" spans="27:27" ht="15" x14ac:dyDescent="0.2">
      <c r="AA34" s="15"/>
    </row>
    <row r="35" spans="27:27" ht="15" x14ac:dyDescent="0.2">
      <c r="AA35" s="15"/>
    </row>
    <row r="36" spans="27:27" ht="15" x14ac:dyDescent="0.2">
      <c r="AA36" s="15"/>
    </row>
    <row r="37" spans="27:27" ht="15" x14ac:dyDescent="0.2">
      <c r="AA37" s="15"/>
    </row>
    <row r="38" spans="27:27" ht="15" x14ac:dyDescent="0.2">
      <c r="AA38" s="15"/>
    </row>
    <row r="39" spans="27:27" ht="15" x14ac:dyDescent="0.2">
      <c r="AA39" s="15"/>
    </row>
    <row r="40" spans="27:27" ht="15" x14ac:dyDescent="0.2">
      <c r="AA40" s="15"/>
    </row>
    <row r="41" spans="27:27" ht="15" x14ac:dyDescent="0.2">
      <c r="AA41" s="15"/>
    </row>
    <row r="42" spans="27:27" ht="15" x14ac:dyDescent="0.2">
      <c r="AA42" s="15"/>
    </row>
    <row r="43" spans="27:27" ht="15" x14ac:dyDescent="0.2">
      <c r="AA43" s="15"/>
    </row>
    <row r="44" spans="27:27" ht="15" x14ac:dyDescent="0.2">
      <c r="AA44" s="15"/>
    </row>
    <row r="45" spans="27:27" ht="15" x14ac:dyDescent="0.2">
      <c r="AA45" s="15"/>
    </row>
    <row r="46" spans="27:27" ht="15" x14ac:dyDescent="0.2">
      <c r="AA46" s="15"/>
    </row>
    <row r="47" spans="27:27" ht="15" x14ac:dyDescent="0.2">
      <c r="AA47" s="15"/>
    </row>
    <row r="48" spans="27:27" ht="15" x14ac:dyDescent="0.2">
      <c r="AA48" s="15"/>
    </row>
    <row r="49" spans="27:27" ht="15" x14ac:dyDescent="0.2">
      <c r="AA49" s="15"/>
    </row>
    <row r="50" spans="27:27" ht="15" x14ac:dyDescent="0.2">
      <c r="AA50" s="15"/>
    </row>
    <row r="51" spans="27:27" ht="15" x14ac:dyDescent="0.2">
      <c r="AA51" s="15"/>
    </row>
    <row r="52" spans="27:27" ht="15" x14ac:dyDescent="0.2">
      <c r="AA52" s="15"/>
    </row>
    <row r="53" spans="27:27" ht="15" x14ac:dyDescent="0.2">
      <c r="AA53" s="15"/>
    </row>
    <row r="54" spans="27:27" ht="15" x14ac:dyDescent="0.2">
      <c r="AA54" s="15"/>
    </row>
    <row r="55" spans="27:27" ht="15" x14ac:dyDescent="0.2">
      <c r="AA55" s="15"/>
    </row>
    <row r="56" spans="27:27" ht="15" x14ac:dyDescent="0.2">
      <c r="AA56" s="15"/>
    </row>
    <row r="57" spans="27:27" ht="15" x14ac:dyDescent="0.2">
      <c r="AA57" s="15"/>
    </row>
    <row r="58" spans="27:27" ht="15" x14ac:dyDescent="0.2">
      <c r="AA58" s="15"/>
    </row>
    <row r="59" spans="27:27" ht="15" x14ac:dyDescent="0.2">
      <c r="AA59" s="15"/>
    </row>
    <row r="60" spans="27:27" ht="15" x14ac:dyDescent="0.2">
      <c r="AA60" s="15"/>
    </row>
    <row r="61" spans="27:27" ht="15" x14ac:dyDescent="0.2">
      <c r="AA61" s="15"/>
    </row>
    <row r="62" spans="27:27" ht="15" x14ac:dyDescent="0.2">
      <c r="AA62" s="15"/>
    </row>
    <row r="63" spans="27:27" ht="15" x14ac:dyDescent="0.2">
      <c r="AA63" s="15"/>
    </row>
    <row r="64" spans="27:27" ht="15" x14ac:dyDescent="0.2">
      <c r="AA64" s="15"/>
    </row>
    <row r="65" spans="27:27" ht="15" x14ac:dyDescent="0.2">
      <c r="AA65" s="15"/>
    </row>
    <row r="66" spans="27:27" ht="15" x14ac:dyDescent="0.2">
      <c r="AA66" s="15"/>
    </row>
    <row r="67" spans="27:27" ht="15" x14ac:dyDescent="0.2">
      <c r="AA67" s="15"/>
    </row>
    <row r="68" spans="27:27" ht="15" x14ac:dyDescent="0.2">
      <c r="AA68" s="15"/>
    </row>
    <row r="69" spans="27:27" ht="15" x14ac:dyDescent="0.2">
      <c r="AA69" s="15"/>
    </row>
    <row r="70" spans="27:27" ht="15" x14ac:dyDescent="0.2">
      <c r="AA70" s="15"/>
    </row>
    <row r="71" spans="27:27" ht="15" x14ac:dyDescent="0.2">
      <c r="AA71" s="15"/>
    </row>
    <row r="72" spans="27:27" ht="15" x14ac:dyDescent="0.2">
      <c r="AA72" s="15"/>
    </row>
    <row r="73" spans="27:27" ht="15" x14ac:dyDescent="0.2">
      <c r="AA73" s="15"/>
    </row>
    <row r="74" spans="27:27" ht="15" x14ac:dyDescent="0.2">
      <c r="AA74" s="15"/>
    </row>
    <row r="75" spans="27:27" ht="15" x14ac:dyDescent="0.2">
      <c r="AA75" s="15"/>
    </row>
    <row r="76" spans="27:27" ht="15" x14ac:dyDescent="0.2">
      <c r="AA76" s="15"/>
    </row>
    <row r="77" spans="27:27" ht="15" x14ac:dyDescent="0.2">
      <c r="AA77" s="15"/>
    </row>
    <row r="78" spans="27:27" ht="15" x14ac:dyDescent="0.2">
      <c r="AA78" s="15"/>
    </row>
    <row r="79" spans="27:27" ht="15" x14ac:dyDescent="0.2">
      <c r="AA79" s="15"/>
    </row>
    <row r="80" spans="27:27" ht="15" x14ac:dyDescent="0.2">
      <c r="AA80" s="15"/>
    </row>
    <row r="81" spans="27:27" ht="15" x14ac:dyDescent="0.2">
      <c r="AA81" s="15"/>
    </row>
    <row r="82" spans="27:27" ht="15" x14ac:dyDescent="0.2">
      <c r="AA82" s="15"/>
    </row>
    <row r="83" spans="27:27" ht="15" x14ac:dyDescent="0.2">
      <c r="AA83" s="15"/>
    </row>
    <row r="84" spans="27:27" ht="15" x14ac:dyDescent="0.2">
      <c r="AA84" s="15"/>
    </row>
    <row r="85" spans="27:27" ht="15" x14ac:dyDescent="0.2">
      <c r="AA85" s="15"/>
    </row>
    <row r="86" spans="27:27" ht="15" x14ac:dyDescent="0.2">
      <c r="AA86" s="15"/>
    </row>
  </sheetData>
  <phoneticPr fontId="9" type="noConversion"/>
  <dataValidations count="2">
    <dataValidation type="list" showInputMessage="1" showErrorMessage="1" sqref="A2">
      <formula1>$Z$3:$Z$14</formula1>
    </dataValidation>
    <dataValidation type="list" showInputMessage="1" showErrorMessage="1" sqref="B2">
      <formula1>$AA$3:$AA$43</formula1>
    </dataValidation>
  </dataValidations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17"/>
  <sheetViews>
    <sheetView topLeftCell="C73" workbookViewId="0">
      <selection activeCell="V27" sqref="V27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33" t="s">
        <v>59</v>
      </c>
      <c r="E1" s="134"/>
      <c r="F1" s="134"/>
      <c r="G1" s="134"/>
      <c r="H1" s="134"/>
      <c r="I1" s="134"/>
      <c r="J1" s="135"/>
      <c r="L1" s="133" t="s">
        <v>60</v>
      </c>
      <c r="M1" s="134"/>
      <c r="N1" s="134"/>
      <c r="O1" s="134"/>
      <c r="P1" s="134"/>
      <c r="Q1" s="134"/>
      <c r="R1" s="135"/>
      <c r="S1" s="27"/>
      <c r="T1" s="27"/>
      <c r="U1" s="5"/>
      <c r="V1" s="133" t="s">
        <v>61</v>
      </c>
      <c r="W1" s="134"/>
      <c r="X1" s="135"/>
      <c r="Y1" s="133" t="s">
        <v>62</v>
      </c>
      <c r="Z1" s="134"/>
      <c r="AA1" s="135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67</v>
      </c>
      <c r="T2" s="5" t="s">
        <v>68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128" t="s">
        <v>6</v>
      </c>
      <c r="B3" s="128" t="s">
        <v>916</v>
      </c>
      <c r="C3" s="24">
        <v>42</v>
      </c>
      <c r="D3" s="9">
        <f>Reference!B1</f>
        <v>872.22</v>
      </c>
      <c r="E3" s="10">
        <f>Reference!C1</f>
        <v>36.534300000000002</v>
      </c>
      <c r="F3" s="10">
        <f>Reference!D1</f>
        <v>44.644300000000001</v>
      </c>
      <c r="G3" s="10">
        <f>Reference!E1</f>
        <v>42.063800000000001</v>
      </c>
      <c r="H3" s="10">
        <f>Reference!F1</f>
        <v>101048.07</v>
      </c>
      <c r="I3" s="10">
        <f>Reference!G1</f>
        <v>32.97</v>
      </c>
      <c r="J3" s="11">
        <f t="shared" ref="J3:J34" si="0">H3/3600</f>
        <v>28.068908333333336</v>
      </c>
      <c r="L3" s="9">
        <f>Test!B1</f>
        <v>875.22</v>
      </c>
      <c r="M3" s="10">
        <f>Test!C1</f>
        <v>36.538699999999999</v>
      </c>
      <c r="N3" s="10">
        <f>Test!D1</f>
        <v>44.9649</v>
      </c>
      <c r="O3" s="10">
        <f>Test!E1</f>
        <v>42.244799999999998</v>
      </c>
      <c r="P3" s="10">
        <f>Test!F1</f>
        <v>100151.84</v>
      </c>
      <c r="Q3" s="10">
        <f>Test!G1</f>
        <v>32.700000000000003</v>
      </c>
      <c r="R3" s="11">
        <f t="shared" ref="R3:R34" si="1">P3/3600</f>
        <v>27.819955555555556</v>
      </c>
      <c r="S3" s="10">
        <f t="shared" ref="S3:S34" si="2">P3/H3</f>
        <v>0.99113065692397673</v>
      </c>
      <c r="T3" s="10">
        <f t="shared" ref="T3:T34" si="3">Q3/I3</f>
        <v>0.99181073703366707</v>
      </c>
      <c r="U3" s="47"/>
      <c r="V3" s="30">
        <f>bdrate($D3:$D6,E3:E6,$L3:$L6,M3:M6)</f>
        <v>1.1018840646132233E-2</v>
      </c>
      <c r="W3" s="35">
        <f>bdrate($D3:$D6,F3:F6,$L3:$L6,N3:N6)</f>
        <v>-0.1408282824581113</v>
      </c>
      <c r="X3" s="36">
        <f>bdrate($D3:$D6,G3:G6,$L3:$L6,O3:O6)</f>
        <v>-4.1168300555612602E-2</v>
      </c>
      <c r="Y3" s="30">
        <f>bdrateOld($D3:$D6,E3:E6,$L3:$L6,M3:M6)</f>
        <v>1.0552217762510363E-2</v>
      </c>
      <c r="Z3" s="35">
        <f>bdrateOld($D3:$D6,F3:F6,$L3:$L6,N3:N6)</f>
        <v>-0.1451618609715789</v>
      </c>
      <c r="AA3" s="36">
        <f>bdrateOld($D3:$D6,G3:G6,$L3:$L6,O3:O6)</f>
        <v>-4.1443822014243903E-2</v>
      </c>
    </row>
    <row r="4" spans="1:27" x14ac:dyDescent="0.2">
      <c r="A4" s="129" t="s">
        <v>69</v>
      </c>
      <c r="B4" s="129"/>
      <c r="C4" s="25">
        <v>47</v>
      </c>
      <c r="D4" s="12">
        <f>Reference!B2</f>
        <v>498.42</v>
      </c>
      <c r="E4" s="13">
        <f>Reference!C2</f>
        <v>34.409799999999997</v>
      </c>
      <c r="F4" s="13">
        <f>Reference!D2</f>
        <v>42.046599999999998</v>
      </c>
      <c r="G4" s="13">
        <f>Reference!E2</f>
        <v>39.482300000000002</v>
      </c>
      <c r="H4" s="13">
        <f>Reference!F2</f>
        <v>41460.04</v>
      </c>
      <c r="I4" s="13">
        <f>Reference!G2</f>
        <v>24.41</v>
      </c>
      <c r="J4" s="14">
        <f t="shared" si="0"/>
        <v>11.516677777777778</v>
      </c>
      <c r="L4" s="12">
        <f>Test!B2</f>
        <v>505.92</v>
      </c>
      <c r="M4" s="13">
        <f>Test!C2</f>
        <v>34.409300000000002</v>
      </c>
      <c r="N4" s="13">
        <f>Test!D2</f>
        <v>42.7425</v>
      </c>
      <c r="O4" s="13">
        <f>Test!E2</f>
        <v>39.696800000000003</v>
      </c>
      <c r="P4" s="13">
        <f>Test!F2</f>
        <v>41476.04</v>
      </c>
      <c r="Q4" s="13">
        <f>Test!G2</f>
        <v>24.75</v>
      </c>
      <c r="R4" s="14">
        <f t="shared" si="1"/>
        <v>11.521122222222223</v>
      </c>
      <c r="S4" s="13">
        <f t="shared" si="2"/>
        <v>1.0003859137617812</v>
      </c>
      <c r="T4" s="13">
        <f t="shared" si="3"/>
        <v>1.0139287177386318</v>
      </c>
      <c r="U4" s="48"/>
      <c r="V4" s="31"/>
      <c r="W4" s="29"/>
      <c r="X4" s="43"/>
      <c r="Y4" s="31"/>
      <c r="Z4" s="29"/>
      <c r="AA4" s="43"/>
    </row>
    <row r="5" spans="1:27" x14ac:dyDescent="0.2">
      <c r="A5" s="129"/>
      <c r="B5" s="129"/>
      <c r="C5" s="25">
        <v>52</v>
      </c>
      <c r="D5" s="12">
        <f>Reference!B3</f>
        <v>283.98</v>
      </c>
      <c r="E5" s="13">
        <f>Reference!C3</f>
        <v>31.9786</v>
      </c>
      <c r="F5" s="13">
        <f>Reference!D3</f>
        <v>38.952800000000003</v>
      </c>
      <c r="G5" s="13">
        <f>Reference!E3</f>
        <v>36.2973</v>
      </c>
      <c r="H5" s="13">
        <f>Reference!F3</f>
        <v>17015.32</v>
      </c>
      <c r="I5" s="13">
        <f>Reference!G3</f>
        <v>23.09</v>
      </c>
      <c r="J5" s="14">
        <f t="shared" si="0"/>
        <v>4.7264777777777773</v>
      </c>
      <c r="L5" s="12">
        <f>Test!B3</f>
        <v>287.82</v>
      </c>
      <c r="M5" s="13">
        <f>Test!C3</f>
        <v>32.022599999999997</v>
      </c>
      <c r="N5" s="13">
        <f>Test!D3</f>
        <v>40.166499999999999</v>
      </c>
      <c r="O5" s="13">
        <f>Test!E3</f>
        <v>36.682099999999998</v>
      </c>
      <c r="P5" s="13">
        <f>Test!F3</f>
        <v>17090.45</v>
      </c>
      <c r="Q5" s="13">
        <f>Test!G3</f>
        <v>22.68</v>
      </c>
      <c r="R5" s="14">
        <f t="shared" si="1"/>
        <v>4.7473472222222224</v>
      </c>
      <c r="S5" s="13">
        <f t="shared" si="2"/>
        <v>1.0044154326806667</v>
      </c>
      <c r="T5" s="13">
        <f t="shared" si="3"/>
        <v>0.98224339540926808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129"/>
      <c r="B6" s="130"/>
      <c r="C6" s="26">
        <v>57</v>
      </c>
      <c r="D6" s="16">
        <f>Reference!B4</f>
        <v>160.62</v>
      </c>
      <c r="E6" s="17">
        <f>Reference!C4</f>
        <v>29.408899999999999</v>
      </c>
      <c r="F6" s="17">
        <f>Reference!D4</f>
        <v>35.444200000000002</v>
      </c>
      <c r="G6" s="17">
        <f>Reference!E4</f>
        <v>33.195900000000002</v>
      </c>
      <c r="H6" s="17">
        <f>Reference!F4</f>
        <v>5915.64</v>
      </c>
      <c r="I6" s="17">
        <f>Reference!G4</f>
        <v>20.49</v>
      </c>
      <c r="J6" s="18">
        <f t="shared" si="0"/>
        <v>1.6432333333333333</v>
      </c>
      <c r="L6" s="16">
        <f>Test!B4</f>
        <v>164.58</v>
      </c>
      <c r="M6" s="17">
        <f>Test!C4</f>
        <v>29.383299999999998</v>
      </c>
      <c r="N6" s="17">
        <f>Test!D4</f>
        <v>36.188800000000001</v>
      </c>
      <c r="O6" s="17">
        <f>Test!E4</f>
        <v>33.5595</v>
      </c>
      <c r="P6" s="17">
        <f>Test!F4</f>
        <v>5799.28</v>
      </c>
      <c r="Q6" s="17">
        <f>Test!G4</f>
        <v>20.02</v>
      </c>
      <c r="R6" s="18">
        <f t="shared" si="1"/>
        <v>1.610911111111111</v>
      </c>
      <c r="S6" s="13">
        <f t="shared" si="2"/>
        <v>0.98033010798493481</v>
      </c>
      <c r="T6" s="13">
        <f t="shared" si="3"/>
        <v>0.97706198145436807</v>
      </c>
      <c r="U6" s="48"/>
      <c r="V6" s="32"/>
      <c r="W6" s="44"/>
      <c r="X6" s="45"/>
      <c r="Y6" s="32"/>
      <c r="Z6" s="44"/>
      <c r="AA6" s="45"/>
    </row>
    <row r="7" spans="1:27" x14ac:dyDescent="0.2">
      <c r="A7" s="129"/>
      <c r="B7" s="128" t="s">
        <v>917</v>
      </c>
      <c r="C7" s="24">
        <v>42</v>
      </c>
      <c r="D7" s="9">
        <f>Reference!B5</f>
        <v>741.3</v>
      </c>
      <c r="E7" s="10">
        <f>Reference!C5</f>
        <v>41.396999999999998</v>
      </c>
      <c r="F7" s="10">
        <f>Reference!D5</f>
        <v>45.143099999999997</v>
      </c>
      <c r="G7" s="10">
        <f>Reference!E5</f>
        <v>45.142499999999998</v>
      </c>
      <c r="H7" s="10">
        <f>Reference!F5</f>
        <v>66349.850000000006</v>
      </c>
      <c r="I7" s="10">
        <f>Reference!G5</f>
        <v>32.64</v>
      </c>
      <c r="J7" s="11">
        <f t="shared" si="0"/>
        <v>18.430513888888889</v>
      </c>
      <c r="L7" s="9">
        <f>Test!B5</f>
        <v>753.66</v>
      </c>
      <c r="M7" s="10">
        <f>Test!C5</f>
        <v>41.377200000000002</v>
      </c>
      <c r="N7" s="10">
        <f>Test!D5</f>
        <v>45.0762</v>
      </c>
      <c r="O7" s="10">
        <f>Test!E5</f>
        <v>45.132800000000003</v>
      </c>
      <c r="P7" s="10">
        <f>Test!F5</f>
        <v>66879.649999999994</v>
      </c>
      <c r="Q7" s="10">
        <f>Test!G5</f>
        <v>30.02</v>
      </c>
      <c r="R7" s="11">
        <f t="shared" si="1"/>
        <v>18.577680555555553</v>
      </c>
      <c r="S7" s="13">
        <f t="shared" si="2"/>
        <v>1.0079849464618231</v>
      </c>
      <c r="T7" s="13">
        <f t="shared" si="3"/>
        <v>0.9197303921568627</v>
      </c>
      <c r="U7" s="48"/>
      <c r="V7" s="30">
        <f>bdrate($D7:$D10,E7:E10,$L7:$L10,M7:M10)</f>
        <v>3.1637864906505442E-2</v>
      </c>
      <c r="W7" s="35">
        <f>bdrate($D7:$D10,F7:F10,$L7:$L10,N7:N10)</f>
        <v>4.2722525340791018E-2</v>
      </c>
      <c r="X7" s="35">
        <f>bdrate($D7:$D10,G7:G10,$L7:$L10,O7:O10)</f>
        <v>-1.8969366646704899E-2</v>
      </c>
      <c r="Y7" s="33">
        <f>bdrateOld($D7:$D10,E7:E10,$L7:$L10,M7:M10)</f>
        <v>3.1878937825886577E-2</v>
      </c>
      <c r="Z7" s="37">
        <f>bdrateOld($D7:$D10,F7:F10,$L7:$L10,N7:N10)</f>
        <v>4.38153220541877E-2</v>
      </c>
      <c r="AA7" s="38">
        <f>bdrateOld($D7:$D10,G7:G10,$L7:$L10,O7:O10)</f>
        <v>-2.0692869097307054E-2</v>
      </c>
    </row>
    <row r="8" spans="1:27" x14ac:dyDescent="0.2">
      <c r="A8" s="129"/>
      <c r="B8" s="129"/>
      <c r="C8" s="25">
        <v>47</v>
      </c>
      <c r="D8" s="12">
        <f>Reference!B6</f>
        <v>462.96</v>
      </c>
      <c r="E8" s="13">
        <f>Reference!C6</f>
        <v>38.810200000000002</v>
      </c>
      <c r="F8" s="13">
        <f>Reference!D6</f>
        <v>42.353400000000001</v>
      </c>
      <c r="G8" s="13">
        <f>Reference!E6</f>
        <v>42.047600000000003</v>
      </c>
      <c r="H8" s="13">
        <f>Reference!F6</f>
        <v>32005.51</v>
      </c>
      <c r="I8" s="13">
        <f>Reference!G6</f>
        <v>28.53</v>
      </c>
      <c r="J8" s="14">
        <f t="shared" si="0"/>
        <v>8.8904194444444435</v>
      </c>
      <c r="L8" s="12">
        <f>Test!B6</f>
        <v>473.04</v>
      </c>
      <c r="M8" s="13">
        <f>Test!C6</f>
        <v>38.828699999999998</v>
      </c>
      <c r="N8" s="13">
        <f>Test!D6</f>
        <v>42.273499999999999</v>
      </c>
      <c r="O8" s="13">
        <f>Test!E6</f>
        <v>42.234000000000002</v>
      </c>
      <c r="P8" s="13">
        <f>Test!F6</f>
        <v>32327.55</v>
      </c>
      <c r="Q8" s="13">
        <f>Test!G6</f>
        <v>27.81</v>
      </c>
      <c r="R8" s="14">
        <f t="shared" si="1"/>
        <v>8.9798749999999998</v>
      </c>
      <c r="S8" s="13">
        <f t="shared" si="2"/>
        <v>1.010062017446371</v>
      </c>
      <c r="T8" s="13">
        <f t="shared" si="3"/>
        <v>0.97476340694006303</v>
      </c>
      <c r="U8" s="48"/>
      <c r="V8" s="31"/>
      <c r="W8" s="29"/>
      <c r="X8" s="29"/>
      <c r="Y8" s="31"/>
      <c r="Z8" s="29"/>
      <c r="AA8" s="43"/>
    </row>
    <row r="9" spans="1:27" x14ac:dyDescent="0.2">
      <c r="A9" s="129"/>
      <c r="B9" s="129"/>
      <c r="C9" s="25">
        <v>52</v>
      </c>
      <c r="D9" s="12">
        <f>Reference!B7</f>
        <v>281.7</v>
      </c>
      <c r="E9" s="13">
        <f>Reference!C7</f>
        <v>35.805999999999997</v>
      </c>
      <c r="F9" s="13">
        <f>Reference!D7</f>
        <v>39.443899999999999</v>
      </c>
      <c r="G9" s="13">
        <f>Reference!E7</f>
        <v>38.654899999999998</v>
      </c>
      <c r="H9" s="13">
        <f>Reference!F7</f>
        <v>19331.11</v>
      </c>
      <c r="I9" s="13">
        <f>Reference!G7</f>
        <v>25.53</v>
      </c>
      <c r="J9" s="14">
        <f t="shared" si="0"/>
        <v>5.3697527777777783</v>
      </c>
      <c r="L9" s="12">
        <f>Test!B7</f>
        <v>290.45999999999998</v>
      </c>
      <c r="M9" s="13">
        <f>Test!C7</f>
        <v>35.744900000000001</v>
      </c>
      <c r="N9" s="13">
        <f>Test!D7</f>
        <v>39.196399999999997</v>
      </c>
      <c r="O9" s="13">
        <f>Test!E7</f>
        <v>39.299999999999997</v>
      </c>
      <c r="P9" s="13">
        <f>Test!F7</f>
        <v>19584.21</v>
      </c>
      <c r="Q9" s="13">
        <f>Test!G7</f>
        <v>24.36</v>
      </c>
      <c r="R9" s="14">
        <f t="shared" si="1"/>
        <v>5.440058333333333</v>
      </c>
      <c r="S9" s="13">
        <f t="shared" si="2"/>
        <v>1.0130928849921188</v>
      </c>
      <c r="T9" s="13">
        <f t="shared" si="3"/>
        <v>0.95417156286721494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129"/>
      <c r="B10" s="130"/>
      <c r="C10" s="26">
        <v>57</v>
      </c>
      <c r="D10" s="16">
        <f>Reference!B8</f>
        <v>172.14</v>
      </c>
      <c r="E10" s="17">
        <f>Reference!C8</f>
        <v>32.665900000000001</v>
      </c>
      <c r="F10" s="17">
        <f>Reference!D8</f>
        <v>35.927900000000001</v>
      </c>
      <c r="G10" s="17">
        <f>Reference!E8</f>
        <v>35.671300000000002</v>
      </c>
      <c r="H10" s="17">
        <f>Reference!F8</f>
        <v>9293.5300000000007</v>
      </c>
      <c r="I10" s="17">
        <f>Reference!G8</f>
        <v>22.98</v>
      </c>
      <c r="J10" s="18">
        <f t="shared" si="0"/>
        <v>2.5815361111111113</v>
      </c>
      <c r="L10" s="16">
        <f>Test!B8</f>
        <v>180.12</v>
      </c>
      <c r="M10" s="17">
        <f>Test!C8</f>
        <v>32.665900000000001</v>
      </c>
      <c r="N10" s="17">
        <f>Test!D8</f>
        <v>36.378999999999998</v>
      </c>
      <c r="O10" s="17">
        <f>Test!E8</f>
        <v>35.558799999999998</v>
      </c>
      <c r="P10" s="17">
        <f>Test!F8</f>
        <v>9432.86</v>
      </c>
      <c r="Q10" s="17">
        <f>Test!G8</f>
        <v>22.65</v>
      </c>
      <c r="R10" s="18">
        <f t="shared" si="1"/>
        <v>2.6202388888888892</v>
      </c>
      <c r="S10" s="13">
        <f t="shared" si="2"/>
        <v>1.014992150453057</v>
      </c>
      <c r="T10" s="13">
        <f t="shared" si="3"/>
        <v>0.98563968668407298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129"/>
      <c r="B11" s="128" t="s">
        <v>30</v>
      </c>
      <c r="C11" s="24">
        <v>42</v>
      </c>
      <c r="D11" s="9">
        <f>Reference!B9</f>
        <v>890.16</v>
      </c>
      <c r="E11" s="10">
        <f>Reference!C9</f>
        <v>34.745800000000003</v>
      </c>
      <c r="F11" s="10">
        <f>Reference!D9</f>
        <v>34.651299999999999</v>
      </c>
      <c r="G11" s="10">
        <f>Reference!E9</f>
        <v>36.779200000000003</v>
      </c>
      <c r="H11" s="10">
        <f>Reference!F9</f>
        <v>93038.44</v>
      </c>
      <c r="I11" s="10">
        <f>Reference!G9</f>
        <v>47.86</v>
      </c>
      <c r="J11" s="11">
        <f t="shared" si="0"/>
        <v>25.844011111111111</v>
      </c>
      <c r="L11" s="9">
        <f>Test!B9</f>
        <v>903.81</v>
      </c>
      <c r="M11" s="10">
        <f>Test!C9</f>
        <v>34.735999999999997</v>
      </c>
      <c r="N11" s="10">
        <f>Test!D9</f>
        <v>34.6755</v>
      </c>
      <c r="O11" s="10">
        <f>Test!E9</f>
        <v>36.8247</v>
      </c>
      <c r="P11" s="10">
        <f>Test!F9</f>
        <v>89883.69</v>
      </c>
      <c r="Q11" s="10">
        <f>Test!G9</f>
        <v>40.94</v>
      </c>
      <c r="R11" s="11">
        <f t="shared" si="1"/>
        <v>24.967691666666667</v>
      </c>
      <c r="S11" s="13">
        <f t="shared" si="2"/>
        <v>0.96609197230736032</v>
      </c>
      <c r="T11" s="13">
        <f t="shared" si="3"/>
        <v>0.85541161721688252</v>
      </c>
      <c r="U11" s="48"/>
      <c r="V11" s="30">
        <f>bdrate($D11:$D14,E11:E14,$L11:$L14,M11:M14)</f>
        <v>1.9491429062320709E-2</v>
      </c>
      <c r="W11" s="35">
        <f>bdrate($D11:$D14,F11:F14,$L11:$L14,N11:N14)</f>
        <v>3.0696143241135676E-2</v>
      </c>
      <c r="X11" s="35">
        <f>bdrate($D11:$D14,G11:G14,$L11:$L14,O11:O14)</f>
        <v>-4.6551174788079797E-3</v>
      </c>
      <c r="Y11" s="33">
        <f>bdrateOld($D11:$D14,E11:E14,$L11:$L14,M11:M14)</f>
        <v>1.9505574560285455E-2</v>
      </c>
      <c r="Z11" s="37">
        <f>bdrateOld($D11:$D14,F11:F14,$L11:$L14,N11:N14)</f>
        <v>3.1849145184785987E-2</v>
      </c>
      <c r="AA11" s="38">
        <f>bdrateOld($D11:$D14,G11:G14,$L11:$L14,O11:O14)</f>
        <v>-5.0206398956063047E-3</v>
      </c>
    </row>
    <row r="12" spans="1:27" x14ac:dyDescent="0.2">
      <c r="A12" s="129"/>
      <c r="B12" s="129"/>
      <c r="C12" s="25">
        <v>47</v>
      </c>
      <c r="D12" s="12">
        <f>Reference!B10</f>
        <v>415.32</v>
      </c>
      <c r="E12" s="13">
        <f>Reference!C10</f>
        <v>32.9099</v>
      </c>
      <c r="F12" s="13">
        <f>Reference!D10</f>
        <v>32.220599999999997</v>
      </c>
      <c r="G12" s="13">
        <f>Reference!E10</f>
        <v>34.714300000000001</v>
      </c>
      <c r="H12" s="13">
        <f>Reference!F10</f>
        <v>62168.07</v>
      </c>
      <c r="I12" s="13">
        <f>Reference!G10</f>
        <v>35.07</v>
      </c>
      <c r="J12" s="14">
        <f t="shared" si="0"/>
        <v>17.268908333333332</v>
      </c>
      <c r="L12" s="12">
        <f>Test!B10</f>
        <v>421.35</v>
      </c>
      <c r="M12" s="13">
        <f>Test!C10</f>
        <v>32.924799999999998</v>
      </c>
      <c r="N12" s="13">
        <f>Test!D10</f>
        <v>32.182600000000001</v>
      </c>
      <c r="O12" s="13">
        <f>Test!E10</f>
        <v>34.695900000000002</v>
      </c>
      <c r="P12" s="13">
        <f>Test!F10</f>
        <v>62300.29</v>
      </c>
      <c r="Q12" s="13">
        <f>Test!G10</f>
        <v>33.67</v>
      </c>
      <c r="R12" s="14">
        <f t="shared" si="1"/>
        <v>17.305636111111113</v>
      </c>
      <c r="S12" s="13">
        <f t="shared" si="2"/>
        <v>1.0021268152606313</v>
      </c>
      <c r="T12" s="13">
        <f t="shared" si="3"/>
        <v>0.96007984031936133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129"/>
      <c r="B13" s="129"/>
      <c r="C13" s="25">
        <v>52</v>
      </c>
      <c r="D13" s="12">
        <f>Reference!B11</f>
        <v>194.85</v>
      </c>
      <c r="E13" s="13">
        <f>Reference!C11</f>
        <v>30.870899999999999</v>
      </c>
      <c r="F13" s="13">
        <f>Reference!D11</f>
        <v>30.4115</v>
      </c>
      <c r="G13" s="13">
        <f>Reference!E11</f>
        <v>32.390700000000002</v>
      </c>
      <c r="H13" s="13">
        <f>Reference!F11</f>
        <v>37171.379999999997</v>
      </c>
      <c r="I13" s="13">
        <f>Reference!G11</f>
        <v>26.01</v>
      </c>
      <c r="J13" s="14">
        <f t="shared" si="0"/>
        <v>10.325383333333333</v>
      </c>
      <c r="L13" s="12">
        <f>Test!B11</f>
        <v>197.76</v>
      </c>
      <c r="M13" s="13">
        <f>Test!C11</f>
        <v>30.855699999999999</v>
      </c>
      <c r="N13" s="13">
        <f>Test!D11</f>
        <v>30.369299999999999</v>
      </c>
      <c r="O13" s="13">
        <f>Test!E11</f>
        <v>32.517699999999998</v>
      </c>
      <c r="P13" s="13">
        <f>Test!F11</f>
        <v>35728.26</v>
      </c>
      <c r="Q13" s="13">
        <f>Test!G11</f>
        <v>23.38</v>
      </c>
      <c r="R13" s="14">
        <f t="shared" si="1"/>
        <v>9.9245166666666673</v>
      </c>
      <c r="S13" s="13">
        <f t="shared" si="2"/>
        <v>0.96117658262889361</v>
      </c>
      <c r="T13" s="13">
        <f t="shared" si="3"/>
        <v>0.89888504421376381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129"/>
      <c r="B14" s="130"/>
      <c r="C14" s="26">
        <v>57</v>
      </c>
      <c r="D14" s="16">
        <f>Reference!B12</f>
        <v>89.37</v>
      </c>
      <c r="E14" s="17">
        <f>Reference!C12</f>
        <v>28.807300000000001</v>
      </c>
      <c r="F14" s="17">
        <f>Reference!D12</f>
        <v>28.8475</v>
      </c>
      <c r="G14" s="17">
        <f>Reference!E12</f>
        <v>30.155100000000001</v>
      </c>
      <c r="H14" s="17">
        <f>Reference!F12</f>
        <v>17471.32</v>
      </c>
      <c r="I14" s="17">
        <f>Reference!G12</f>
        <v>21.61</v>
      </c>
      <c r="J14" s="18">
        <f t="shared" si="0"/>
        <v>4.8531444444444443</v>
      </c>
      <c r="L14" s="16">
        <f>Test!B12</f>
        <v>93.87</v>
      </c>
      <c r="M14" s="17">
        <f>Test!C12</f>
        <v>28.816600000000001</v>
      </c>
      <c r="N14" s="17">
        <f>Test!D12</f>
        <v>28.820799999999998</v>
      </c>
      <c r="O14" s="17">
        <f>Test!E12</f>
        <v>30.327000000000002</v>
      </c>
      <c r="P14" s="17">
        <f>Test!F12</f>
        <v>17013.12</v>
      </c>
      <c r="Q14" s="17">
        <f>Test!G12</f>
        <v>20.329999999999998</v>
      </c>
      <c r="R14" s="18">
        <f t="shared" si="1"/>
        <v>4.7258666666666667</v>
      </c>
      <c r="S14" s="13">
        <f t="shared" si="2"/>
        <v>0.97377416245595638</v>
      </c>
      <c r="T14" s="13">
        <f t="shared" si="3"/>
        <v>0.94076816288755205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128" t="s">
        <v>7</v>
      </c>
      <c r="B15" s="128" t="s">
        <v>32</v>
      </c>
      <c r="C15" s="24">
        <v>42</v>
      </c>
      <c r="D15" s="9">
        <f>Reference!B13</f>
        <v>1952.46</v>
      </c>
      <c r="E15" s="10">
        <f>Reference!C13</f>
        <v>34.2378</v>
      </c>
      <c r="F15" s="10">
        <f>Reference!D13</f>
        <v>38.635800000000003</v>
      </c>
      <c r="G15" s="10">
        <f>Reference!E13</f>
        <v>37.892600000000002</v>
      </c>
      <c r="H15" s="10">
        <f>Reference!F13</f>
        <v>102181.19</v>
      </c>
      <c r="I15" s="10">
        <f>Reference!G13</f>
        <v>44.07</v>
      </c>
      <c r="J15" s="11">
        <f t="shared" si="0"/>
        <v>28.38366388888889</v>
      </c>
      <c r="L15" s="9">
        <f>Test!B13</f>
        <v>1978.74</v>
      </c>
      <c r="M15" s="10">
        <f>Test!C13</f>
        <v>34.237299999999998</v>
      </c>
      <c r="N15" s="10">
        <f>Test!D13</f>
        <v>38.653300000000002</v>
      </c>
      <c r="O15" s="10">
        <f>Test!E13</f>
        <v>37.915500000000002</v>
      </c>
      <c r="P15" s="10">
        <f>Test!F13</f>
        <v>103692.53</v>
      </c>
      <c r="Q15" s="10">
        <f>Test!G13</f>
        <v>43.24</v>
      </c>
      <c r="R15" s="11">
        <f t="shared" si="1"/>
        <v>28.803480555555556</v>
      </c>
      <c r="S15" s="10">
        <f t="shared" si="2"/>
        <v>1.0147907848792914</v>
      </c>
      <c r="T15" s="10">
        <f t="shared" si="3"/>
        <v>0.98116632629906975</v>
      </c>
      <c r="U15" s="47"/>
      <c r="V15" s="30">
        <f>bdrate($D15:$D18,E15:E18,$L15:$L18,M15:M18)</f>
        <v>1.5779885944868122E-2</v>
      </c>
      <c r="W15" s="35">
        <f>bdrate($D15:$D18,F15:F18,$L15:$L18,N15:N18)</f>
        <v>-3.9217287293593306E-2</v>
      </c>
      <c r="X15" s="36">
        <f>bdrate($D15:$D18,G15:G18,$L15:$L18,O15:O18)</f>
        <v>-3.1495089157339451E-2</v>
      </c>
      <c r="Y15" s="30">
        <f>bdrateOld($D15:$D18,E15:E18,$L15:$L18,M15:M18)</f>
        <v>1.5752508637842721E-2</v>
      </c>
      <c r="Z15" s="35">
        <f>bdrateOld($D15:$D18,F15:F18,$L15:$L18,N15:N18)</f>
        <v>-3.8749846685719125E-2</v>
      </c>
      <c r="AA15" s="36">
        <f>bdrateOld($D15:$D18,G15:G18,$L15:$L18,O15:O18)</f>
        <v>-3.1600268511292717E-2</v>
      </c>
    </row>
    <row r="16" spans="1:27" x14ac:dyDescent="0.2">
      <c r="A16" s="129" t="s">
        <v>69</v>
      </c>
      <c r="B16" s="129"/>
      <c r="C16" s="25">
        <v>47</v>
      </c>
      <c r="D16" s="12">
        <f>Reference!B14</f>
        <v>1013.34</v>
      </c>
      <c r="E16" s="13">
        <f>Reference!C14</f>
        <v>31.5703</v>
      </c>
      <c r="F16" s="13">
        <f>Reference!D14</f>
        <v>36.723300000000002</v>
      </c>
      <c r="G16" s="13">
        <f>Reference!E14</f>
        <v>35.492699999999999</v>
      </c>
      <c r="H16" s="13">
        <f>Reference!F14</f>
        <v>57084.52</v>
      </c>
      <c r="I16" s="13">
        <f>Reference!G14</f>
        <v>32.85</v>
      </c>
      <c r="J16" s="14">
        <f t="shared" si="0"/>
        <v>15.85681111111111</v>
      </c>
      <c r="L16" s="12">
        <f>Test!B14</f>
        <v>1024.68</v>
      </c>
      <c r="M16" s="13">
        <f>Test!C14</f>
        <v>31.581499999999998</v>
      </c>
      <c r="N16" s="13">
        <f>Test!D14</f>
        <v>36.803100000000001</v>
      </c>
      <c r="O16" s="13">
        <f>Test!E14</f>
        <v>35.568399999999997</v>
      </c>
      <c r="P16" s="13">
        <f>Test!F14</f>
        <v>57351.23</v>
      </c>
      <c r="Q16" s="13">
        <f>Test!G14</f>
        <v>31.15</v>
      </c>
      <c r="R16" s="14">
        <f t="shared" si="1"/>
        <v>15.930897222222223</v>
      </c>
      <c r="S16" s="13">
        <f t="shared" si="2"/>
        <v>1.0046721948437161</v>
      </c>
      <c r="T16" s="13">
        <f t="shared" si="3"/>
        <v>0.94824961948249609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129"/>
      <c r="B17" s="129"/>
      <c r="C17" s="25">
        <v>52</v>
      </c>
      <c r="D17" s="12">
        <f>Reference!B15</f>
        <v>474.18</v>
      </c>
      <c r="E17" s="13">
        <f>Reference!C15</f>
        <v>28.9008</v>
      </c>
      <c r="F17" s="13">
        <f>Reference!D15</f>
        <v>34.540300000000002</v>
      </c>
      <c r="G17" s="13">
        <f>Reference!E15</f>
        <v>32.804200000000002</v>
      </c>
      <c r="H17" s="13">
        <f>Reference!F15</f>
        <v>31538.76</v>
      </c>
      <c r="I17" s="13">
        <f>Reference!G15</f>
        <v>27.8</v>
      </c>
      <c r="J17" s="14">
        <f t="shared" si="0"/>
        <v>8.760766666666667</v>
      </c>
      <c r="L17" s="12">
        <f>Test!B15</f>
        <v>485.22</v>
      </c>
      <c r="M17" s="13">
        <f>Test!C15</f>
        <v>28.912400000000002</v>
      </c>
      <c r="N17" s="13">
        <f>Test!D15</f>
        <v>34.7517</v>
      </c>
      <c r="O17" s="13">
        <f>Test!E15</f>
        <v>33.017800000000001</v>
      </c>
      <c r="P17" s="13">
        <f>Test!F15</f>
        <v>30978.03</v>
      </c>
      <c r="Q17" s="13">
        <f>Test!G15</f>
        <v>26.63</v>
      </c>
      <c r="R17" s="14">
        <f t="shared" si="1"/>
        <v>8.6050083333333323</v>
      </c>
      <c r="S17" s="13">
        <f t="shared" si="2"/>
        <v>0.98222092434832564</v>
      </c>
      <c r="T17" s="13">
        <f t="shared" si="3"/>
        <v>0.95791366906474817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129"/>
      <c r="B18" s="130"/>
      <c r="C18" s="26">
        <v>57</v>
      </c>
      <c r="D18" s="16">
        <f>Reference!B16</f>
        <v>214.2</v>
      </c>
      <c r="E18" s="17">
        <f>Reference!C16</f>
        <v>26.623100000000001</v>
      </c>
      <c r="F18" s="17">
        <f>Reference!D16</f>
        <v>31.9514</v>
      </c>
      <c r="G18" s="17">
        <f>Reference!E16</f>
        <v>30.324400000000001</v>
      </c>
      <c r="H18" s="17">
        <f>Reference!F16</f>
        <v>16408.28</v>
      </c>
      <c r="I18" s="17">
        <f>Reference!G16</f>
        <v>23.78</v>
      </c>
      <c r="J18" s="18">
        <f t="shared" si="0"/>
        <v>4.5578555555555553</v>
      </c>
      <c r="L18" s="16">
        <f>Test!B16</f>
        <v>220.56</v>
      </c>
      <c r="M18" s="17">
        <f>Test!C16</f>
        <v>26.611499999999999</v>
      </c>
      <c r="N18" s="17">
        <f>Test!D16</f>
        <v>32.431399999999996</v>
      </c>
      <c r="O18" s="17">
        <f>Test!E16</f>
        <v>30.763999999999999</v>
      </c>
      <c r="P18" s="17">
        <f>Test!F16</f>
        <v>16477.59</v>
      </c>
      <c r="Q18" s="17">
        <f>Test!G16</f>
        <v>24.23</v>
      </c>
      <c r="R18" s="18">
        <f t="shared" si="1"/>
        <v>4.5771083333333333</v>
      </c>
      <c r="S18" s="13">
        <f t="shared" si="2"/>
        <v>1.0042240868634618</v>
      </c>
      <c r="T18" s="13">
        <f t="shared" si="3"/>
        <v>1.0189234650967198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129"/>
      <c r="B19" s="129" t="s">
        <v>33</v>
      </c>
      <c r="C19" s="24">
        <v>42</v>
      </c>
      <c r="D19" s="9">
        <f>Reference!B17</f>
        <v>1608.6</v>
      </c>
      <c r="E19" s="10">
        <f>Reference!C17</f>
        <v>33.244900000000001</v>
      </c>
      <c r="F19" s="10">
        <f>Reference!D17</f>
        <v>41.5471</v>
      </c>
      <c r="G19" s="10">
        <f>Reference!E17</f>
        <v>38.804699999999997</v>
      </c>
      <c r="H19" s="10">
        <f>Reference!F17</f>
        <v>130203.62</v>
      </c>
      <c r="I19" s="10">
        <f>Reference!G17</f>
        <v>50.93</v>
      </c>
      <c r="J19" s="11">
        <f t="shared" si="0"/>
        <v>36.167672222222222</v>
      </c>
      <c r="L19" s="9">
        <f>Test!B17</f>
        <v>1624.62</v>
      </c>
      <c r="M19" s="10">
        <f>Test!C17</f>
        <v>33.246400000000001</v>
      </c>
      <c r="N19" s="10">
        <f>Test!D17</f>
        <v>41.7346</v>
      </c>
      <c r="O19" s="10">
        <f>Test!E17</f>
        <v>38.932299999999998</v>
      </c>
      <c r="P19" s="10">
        <f>Test!F17</f>
        <v>134480.18</v>
      </c>
      <c r="Q19" s="10">
        <f>Test!G17</f>
        <v>50.75</v>
      </c>
      <c r="R19" s="11">
        <f t="shared" si="1"/>
        <v>37.355605555555556</v>
      </c>
      <c r="S19" s="13">
        <f t="shared" si="2"/>
        <v>1.0328451697425924</v>
      </c>
      <c r="T19" s="13">
        <f t="shared" si="3"/>
        <v>0.99646573728647159</v>
      </c>
      <c r="U19" s="48"/>
      <c r="V19" s="30">
        <f>bdrate($D19:$D22,E19:E22,$L19:$L22,M19:M22)</f>
        <v>2.4137288246742772E-2</v>
      </c>
      <c r="W19" s="35">
        <f>bdrate($D19:$D22,F19:F22,$L19:$L22,N19:N22)</f>
        <v>-2.9282395967424435E-2</v>
      </c>
      <c r="X19" s="35">
        <f>bdrate($D19:$D22,G19:G22,$L19:$L22,O19:O22)</f>
        <v>-0.14180650823231022</v>
      </c>
      <c r="Y19" s="33">
        <f>bdrateOld($D19:$D22,E19:E22,$L19:$L22,M19:M22)</f>
        <v>2.4352024161085284E-2</v>
      </c>
      <c r="Z19" s="37">
        <f>bdrateOld($D19:$D22,F19:F22,$L19:$L22,N19:N22)</f>
        <v>-2.9945585236252348E-2</v>
      </c>
      <c r="AA19" s="38">
        <f>bdrateOld($D19:$D22,G19:G22,$L19:$L22,O19:O22)</f>
        <v>-0.142659073971248</v>
      </c>
    </row>
    <row r="20" spans="1:27" x14ac:dyDescent="0.2">
      <c r="A20" s="129"/>
      <c r="B20" s="129"/>
      <c r="C20" s="25">
        <v>47</v>
      </c>
      <c r="D20" s="12">
        <f>Reference!B18</f>
        <v>784.02</v>
      </c>
      <c r="E20" s="13">
        <f>Reference!C18</f>
        <v>31.038499999999999</v>
      </c>
      <c r="F20" s="13">
        <f>Reference!D18</f>
        <v>39.880099999999999</v>
      </c>
      <c r="G20" s="13">
        <f>Reference!E18</f>
        <v>37.309100000000001</v>
      </c>
      <c r="H20" s="13">
        <f>Reference!F18</f>
        <v>74398.81</v>
      </c>
      <c r="I20" s="13">
        <f>Reference!G18</f>
        <v>30.84</v>
      </c>
      <c r="J20" s="14">
        <f t="shared" si="0"/>
        <v>20.666336111111111</v>
      </c>
      <c r="L20" s="12">
        <f>Test!B18</f>
        <v>799.14</v>
      </c>
      <c r="M20" s="13">
        <f>Test!C18</f>
        <v>31.037299999999998</v>
      </c>
      <c r="N20" s="13">
        <f>Test!D18</f>
        <v>39.8339</v>
      </c>
      <c r="O20" s="13">
        <f>Test!E18</f>
        <v>37.502000000000002</v>
      </c>
      <c r="P20" s="13">
        <f>Test!F18</f>
        <v>74952.3</v>
      </c>
      <c r="Q20" s="13">
        <f>Test!G18</f>
        <v>30.48</v>
      </c>
      <c r="R20" s="14">
        <f t="shared" si="1"/>
        <v>20.820083333333333</v>
      </c>
      <c r="S20" s="13">
        <f t="shared" si="2"/>
        <v>1.0074395007124444</v>
      </c>
      <c r="T20" s="13">
        <f t="shared" si="3"/>
        <v>0.98832684824902728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129"/>
      <c r="B21" s="129"/>
      <c r="C21" s="25">
        <v>52</v>
      </c>
      <c r="D21" s="12">
        <f>Reference!B19</f>
        <v>361.68</v>
      </c>
      <c r="E21" s="13">
        <f>Reference!C19</f>
        <v>28.797499999999999</v>
      </c>
      <c r="F21" s="13">
        <f>Reference!D19</f>
        <v>37.777999999999999</v>
      </c>
      <c r="G21" s="13">
        <f>Reference!E19</f>
        <v>35.474699999999999</v>
      </c>
      <c r="H21" s="13">
        <f>Reference!F19</f>
        <v>37090.29</v>
      </c>
      <c r="I21" s="13">
        <f>Reference!G19</f>
        <v>26.21</v>
      </c>
      <c r="J21" s="14">
        <f t="shared" si="0"/>
        <v>10.302858333333333</v>
      </c>
      <c r="L21" s="12">
        <f>Test!B19</f>
        <v>367.44</v>
      </c>
      <c r="M21" s="13">
        <f>Test!C19</f>
        <v>28.796600000000002</v>
      </c>
      <c r="N21" s="13">
        <f>Test!D19</f>
        <v>37.937399999999997</v>
      </c>
      <c r="O21" s="13">
        <f>Test!E19</f>
        <v>35.995699999999999</v>
      </c>
      <c r="P21" s="13">
        <f>Test!F19</f>
        <v>38175.85</v>
      </c>
      <c r="Q21" s="13">
        <f>Test!G19</f>
        <v>26.55</v>
      </c>
      <c r="R21" s="14">
        <f t="shared" si="1"/>
        <v>10.604402777777777</v>
      </c>
      <c r="S21" s="13">
        <f t="shared" si="2"/>
        <v>1.0292680375375873</v>
      </c>
      <c r="T21" s="13">
        <f t="shared" si="3"/>
        <v>1.012972148035101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129"/>
      <c r="B22" s="130"/>
      <c r="C22" s="26">
        <v>57</v>
      </c>
      <c r="D22" s="16">
        <f>Reference!B20</f>
        <v>159.96</v>
      </c>
      <c r="E22" s="17">
        <f>Reference!C20</f>
        <v>26.741199999999999</v>
      </c>
      <c r="F22" s="17">
        <f>Reference!D20</f>
        <v>35.555599999999998</v>
      </c>
      <c r="G22" s="17">
        <f>Reference!E20</f>
        <v>32.927100000000003</v>
      </c>
      <c r="H22" s="17">
        <f>Reference!F20</f>
        <v>18431.72</v>
      </c>
      <c r="I22" s="17">
        <f>Reference!G20</f>
        <v>21.27</v>
      </c>
      <c r="J22" s="18">
        <f t="shared" si="0"/>
        <v>5.1199222222222227</v>
      </c>
      <c r="L22" s="16">
        <f>Test!B20</f>
        <v>172.98</v>
      </c>
      <c r="M22" s="17">
        <f>Test!C20</f>
        <v>26.741199999999999</v>
      </c>
      <c r="N22" s="17">
        <f>Test!D20</f>
        <v>36.2761</v>
      </c>
      <c r="O22" s="17">
        <f>Test!E20</f>
        <v>34.249200000000002</v>
      </c>
      <c r="P22" s="17">
        <f>Test!F20</f>
        <v>18622.23</v>
      </c>
      <c r="Q22" s="17">
        <f>Test!G20</f>
        <v>22.28</v>
      </c>
      <c r="R22" s="18">
        <f t="shared" si="1"/>
        <v>5.1728416666666668</v>
      </c>
      <c r="S22" s="13">
        <f t="shared" si="2"/>
        <v>1.0103359860067318</v>
      </c>
      <c r="T22" s="13">
        <f t="shared" si="3"/>
        <v>1.0474847202632818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129"/>
      <c r="B23" s="129" t="s">
        <v>34</v>
      </c>
      <c r="C23" s="24">
        <v>42</v>
      </c>
      <c r="D23" s="9">
        <f>Reference!B21</f>
        <v>3678.65</v>
      </c>
      <c r="E23" s="10">
        <f>Reference!C21</f>
        <v>33.122500000000002</v>
      </c>
      <c r="F23" s="10">
        <f>Reference!D21</f>
        <v>30.236999999999998</v>
      </c>
      <c r="G23" s="10">
        <f>Reference!E21</f>
        <v>32.247700000000002</v>
      </c>
      <c r="H23" s="10">
        <f>Reference!F21</f>
        <v>106546.72</v>
      </c>
      <c r="I23" s="10">
        <f>Reference!G21</f>
        <v>45.94</v>
      </c>
      <c r="J23" s="11">
        <f t="shared" si="0"/>
        <v>29.59631111111111</v>
      </c>
      <c r="L23" s="9">
        <f>Test!B21</f>
        <v>3686.95</v>
      </c>
      <c r="M23" s="10">
        <f>Test!C21</f>
        <v>33.1218</v>
      </c>
      <c r="N23" s="10">
        <f>Test!D21</f>
        <v>30.2334</v>
      </c>
      <c r="O23" s="10">
        <f>Test!E21</f>
        <v>32.247700000000002</v>
      </c>
      <c r="P23" s="10">
        <f>Test!F21</f>
        <v>109751.54</v>
      </c>
      <c r="Q23" s="10">
        <f>Test!G21</f>
        <v>46.3</v>
      </c>
      <c r="R23" s="11">
        <f t="shared" si="1"/>
        <v>30.486538888888887</v>
      </c>
      <c r="S23" s="13">
        <f t="shared" si="2"/>
        <v>1.030079011348261</v>
      </c>
      <c r="T23" s="13">
        <f t="shared" si="3"/>
        <v>1.0078363082281236</v>
      </c>
      <c r="U23" s="48"/>
      <c r="V23" s="30">
        <f>bdrate($D23:$D26,E23:E26,$L23:$L26,M23:M26)</f>
        <v>8.5308688905973984E-3</v>
      </c>
      <c r="W23" s="35">
        <f>bdrate($D23:$D26,F23:F26,$L23:$L26,N23:N26)</f>
        <v>-3.0248331979246812E-2</v>
      </c>
      <c r="X23" s="35">
        <f>bdrate($D23:$D26,G23:G26,$L23:$L26,O23:O26)</f>
        <v>-3.3406172508867682E-2</v>
      </c>
      <c r="Y23" s="33">
        <f>bdrateOld($D23:$D26,E23:E26,$L23:$L26,M23:M26)</f>
        <v>8.4759849520636976E-3</v>
      </c>
      <c r="Z23" s="37">
        <f>bdrateOld($D23:$D26,F23:F26,$L23:$L26,N23:N26)</f>
        <v>-5.2658783791615815E-2</v>
      </c>
      <c r="AA23" s="38">
        <f>bdrateOld($D23:$D26,G23:G26,$L23:$L26,O23:O26)</f>
        <v>-3.9458738470914412E-2</v>
      </c>
    </row>
    <row r="24" spans="1:27" x14ac:dyDescent="0.2">
      <c r="A24" s="129"/>
      <c r="B24" s="129"/>
      <c r="C24" s="25">
        <v>47</v>
      </c>
      <c r="D24" s="12">
        <f>Reference!B22</f>
        <v>1476.6</v>
      </c>
      <c r="E24" s="13">
        <f>Reference!C22</f>
        <v>30.3033</v>
      </c>
      <c r="F24" s="13">
        <f>Reference!D22</f>
        <v>28.5501</v>
      </c>
      <c r="G24" s="13">
        <f>Reference!E22</f>
        <v>30.979600000000001</v>
      </c>
      <c r="H24" s="13">
        <f>Reference!F22</f>
        <v>74410.320000000007</v>
      </c>
      <c r="I24" s="13">
        <f>Reference!G22</f>
        <v>39.71</v>
      </c>
      <c r="J24" s="14">
        <f t="shared" si="0"/>
        <v>20.669533333333334</v>
      </c>
      <c r="L24" s="12">
        <f>Test!B22</f>
        <v>1476.8</v>
      </c>
      <c r="M24" s="13">
        <f>Test!C22</f>
        <v>30.296299999999999</v>
      </c>
      <c r="N24" s="13">
        <f>Test!D22</f>
        <v>28.563400000000001</v>
      </c>
      <c r="O24" s="13">
        <f>Test!E22</f>
        <v>31.003299999999999</v>
      </c>
      <c r="P24" s="13">
        <f>Test!F22</f>
        <v>78902.320000000007</v>
      </c>
      <c r="Q24" s="13">
        <f>Test!G22</f>
        <v>40.26</v>
      </c>
      <c r="R24" s="14">
        <f t="shared" si="1"/>
        <v>21.917311111111115</v>
      </c>
      <c r="S24" s="13">
        <f t="shared" si="2"/>
        <v>1.0603679704643119</v>
      </c>
      <c r="T24" s="13">
        <f t="shared" si="3"/>
        <v>1.0138504155124652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129"/>
      <c r="B25" s="129"/>
      <c r="C25" s="25">
        <v>52</v>
      </c>
      <c r="D25" s="12">
        <f>Reference!B23</f>
        <v>574.5</v>
      </c>
      <c r="E25" s="13">
        <f>Reference!C23</f>
        <v>27.769500000000001</v>
      </c>
      <c r="F25" s="13">
        <f>Reference!D23</f>
        <v>27.641999999999999</v>
      </c>
      <c r="G25" s="13">
        <f>Reference!E23</f>
        <v>30.310700000000001</v>
      </c>
      <c r="H25" s="13">
        <f>Reference!F23</f>
        <v>54285.35</v>
      </c>
      <c r="I25" s="13">
        <f>Reference!G23</f>
        <v>34.22</v>
      </c>
      <c r="J25" s="14">
        <f t="shared" si="0"/>
        <v>15.079263888888889</v>
      </c>
      <c r="L25" s="12">
        <f>Test!B23</f>
        <v>581.9</v>
      </c>
      <c r="M25" s="13">
        <f>Test!C23</f>
        <v>27.769200000000001</v>
      </c>
      <c r="N25" s="13">
        <f>Test!D23</f>
        <v>27.695499999999999</v>
      </c>
      <c r="O25" s="13">
        <f>Test!E23</f>
        <v>30.3416</v>
      </c>
      <c r="P25" s="13">
        <f>Test!F23</f>
        <v>58425.91</v>
      </c>
      <c r="Q25" s="13">
        <f>Test!G23</f>
        <v>34.6</v>
      </c>
      <c r="R25" s="14">
        <f t="shared" si="1"/>
        <v>16.229419444444446</v>
      </c>
      <c r="S25" s="13">
        <f t="shared" si="2"/>
        <v>1.0762739855227976</v>
      </c>
      <c r="T25" s="13">
        <f t="shared" si="3"/>
        <v>1.0111046171829341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129"/>
      <c r="B26" s="130"/>
      <c r="C26" s="26">
        <v>57</v>
      </c>
      <c r="D26" s="16">
        <f>Reference!B24</f>
        <v>219.25</v>
      </c>
      <c r="E26" s="17">
        <f>Reference!C24</f>
        <v>25.702000000000002</v>
      </c>
      <c r="F26" s="17">
        <f>Reference!D24</f>
        <v>26.932400000000001</v>
      </c>
      <c r="G26" s="17">
        <f>Reference!E24</f>
        <v>29.477</v>
      </c>
      <c r="H26" s="17">
        <f>Reference!F24</f>
        <v>33278.839999999997</v>
      </c>
      <c r="I26" s="17">
        <f>Reference!G24</f>
        <v>29.04</v>
      </c>
      <c r="J26" s="18">
        <f t="shared" si="0"/>
        <v>9.2441222222222219</v>
      </c>
      <c r="L26" s="16">
        <f>Test!B24</f>
        <v>225.65</v>
      </c>
      <c r="M26" s="17">
        <f>Test!C24</f>
        <v>25.704000000000001</v>
      </c>
      <c r="N26" s="17">
        <f>Test!D24</f>
        <v>27.1249</v>
      </c>
      <c r="O26" s="17">
        <f>Test!E24</f>
        <v>29.651599999999998</v>
      </c>
      <c r="P26" s="17">
        <f>Test!F24</f>
        <v>35054.81</v>
      </c>
      <c r="Q26" s="17">
        <f>Test!G24</f>
        <v>28.93</v>
      </c>
      <c r="R26" s="18">
        <f t="shared" si="1"/>
        <v>9.7374472222222224</v>
      </c>
      <c r="S26" s="13">
        <f t="shared" si="2"/>
        <v>1.0533663432980236</v>
      </c>
      <c r="T26" s="13">
        <f t="shared" si="3"/>
        <v>0.99621212121212122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128" t="s">
        <v>8</v>
      </c>
      <c r="B27" s="128" t="s">
        <v>35</v>
      </c>
      <c r="C27" s="24">
        <v>42</v>
      </c>
      <c r="D27" s="9">
        <f>Reference!B25</f>
        <v>597.29999999999995</v>
      </c>
      <c r="E27" s="10">
        <f>Reference!C25</f>
        <v>33.4664</v>
      </c>
      <c r="F27" s="10">
        <f>Reference!D25</f>
        <v>39.642699999999998</v>
      </c>
      <c r="G27" s="10">
        <f>Reference!E25</f>
        <v>40.433999999999997</v>
      </c>
      <c r="H27" s="10">
        <f>Reference!F25</f>
        <v>53941.3</v>
      </c>
      <c r="I27" s="10">
        <f>Reference!G25</f>
        <v>19.190000000000001</v>
      </c>
      <c r="J27" s="11">
        <f t="shared" si="0"/>
        <v>14.983694444444446</v>
      </c>
      <c r="L27" s="9">
        <f>Test!B25</f>
        <v>603.54</v>
      </c>
      <c r="M27" s="10">
        <f>Test!C25</f>
        <v>33.486899999999999</v>
      </c>
      <c r="N27" s="10">
        <f>Test!D25</f>
        <v>39.658099999999997</v>
      </c>
      <c r="O27" s="10">
        <f>Test!E25</f>
        <v>40.455599999999997</v>
      </c>
      <c r="P27" s="10">
        <f>Test!F25</f>
        <v>56203.65</v>
      </c>
      <c r="Q27" s="10">
        <f>Test!G25</f>
        <v>21.31</v>
      </c>
      <c r="R27" s="11">
        <f t="shared" si="1"/>
        <v>15.612125000000001</v>
      </c>
      <c r="S27" s="10">
        <f t="shared" si="2"/>
        <v>1.0419409617491606</v>
      </c>
      <c r="T27" s="10">
        <f t="shared" si="3"/>
        <v>1.1104742053152683</v>
      </c>
      <c r="U27" s="47"/>
      <c r="V27" s="30">
        <f>bdrate($D27:$D30,E27:E30,$L27:$L30,M27:M30)</f>
        <v>1.0864415235353198E-2</v>
      </c>
      <c r="W27" s="35">
        <f>bdrate($D27:$D30,F27:F30,$L27:$L30,N27:N30)</f>
        <v>-2.2675701566661877E-2</v>
      </c>
      <c r="X27" s="36">
        <f>bdrate($D27:$D30,G27:G30,$L27:$L30,O27:O30)</f>
        <v>-1.0680685676505153E-2</v>
      </c>
      <c r="Y27" s="30">
        <f>bdrateOld($D27:$D30,E27:E30,$L27:$L30,M27:M30)</f>
        <v>1.1016556527050358E-2</v>
      </c>
      <c r="Z27" s="35">
        <f>bdrateOld($D27:$D30,F27:F30,$L27:$L30,N27:N30)</f>
        <v>-1.9550849806765691E-2</v>
      </c>
      <c r="AA27" s="36">
        <f>bdrateOld($D27:$D30,G27:G30,$L27:$L30,O27:O30)</f>
        <v>-9.583779237123724E-3</v>
      </c>
    </row>
    <row r="28" spans="1:27" x14ac:dyDescent="0.2">
      <c r="A28" s="129" t="s">
        <v>70</v>
      </c>
      <c r="B28" s="129"/>
      <c r="C28" s="25">
        <v>47</v>
      </c>
      <c r="D28" s="12">
        <f>Reference!B26</f>
        <v>276.06</v>
      </c>
      <c r="E28" s="13">
        <f>Reference!C26</f>
        <v>31.218499999999999</v>
      </c>
      <c r="F28" s="13">
        <f>Reference!D26</f>
        <v>37.940600000000003</v>
      </c>
      <c r="G28" s="13">
        <f>Reference!E26</f>
        <v>38.388199999999998</v>
      </c>
      <c r="H28" s="13">
        <f>Reference!F26</f>
        <v>35925.97</v>
      </c>
      <c r="I28" s="13">
        <f>Reference!G26</f>
        <v>16.940000000000001</v>
      </c>
      <c r="J28" s="14">
        <f t="shared" si="0"/>
        <v>9.9794361111111112</v>
      </c>
      <c r="L28" s="12">
        <f>Test!B26</f>
        <v>279.18</v>
      </c>
      <c r="M28" s="13">
        <f>Test!C26</f>
        <v>31.235099999999999</v>
      </c>
      <c r="N28" s="13">
        <f>Test!D26</f>
        <v>37.924599999999998</v>
      </c>
      <c r="O28" s="13">
        <f>Test!E26</f>
        <v>38.433999999999997</v>
      </c>
      <c r="P28" s="13">
        <f>Test!F26</f>
        <v>36968.339999999997</v>
      </c>
      <c r="Q28" s="13">
        <f>Test!G26</f>
        <v>17.43</v>
      </c>
      <c r="R28" s="14">
        <f t="shared" si="1"/>
        <v>10.268983333333333</v>
      </c>
      <c r="S28" s="13">
        <f t="shared" si="2"/>
        <v>1.0290143870854425</v>
      </c>
      <c r="T28" s="13">
        <f t="shared" si="3"/>
        <v>1.0289256198347108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129"/>
      <c r="B29" s="129"/>
      <c r="C29" s="25">
        <v>52</v>
      </c>
      <c r="D29" s="12">
        <f>Reference!B27</f>
        <v>129</v>
      </c>
      <c r="E29" s="13">
        <f>Reference!C27</f>
        <v>29.197800000000001</v>
      </c>
      <c r="F29" s="13">
        <f>Reference!D27</f>
        <v>36.210700000000003</v>
      </c>
      <c r="G29" s="13">
        <f>Reference!E27</f>
        <v>36.258499999999998</v>
      </c>
      <c r="H29" s="13">
        <f>Reference!F27</f>
        <v>23815.41</v>
      </c>
      <c r="I29" s="13">
        <f>Reference!G27</f>
        <v>13.98</v>
      </c>
      <c r="J29" s="14">
        <f t="shared" si="0"/>
        <v>6.6153916666666666</v>
      </c>
      <c r="L29" s="12">
        <f>Test!B27</f>
        <v>131.76</v>
      </c>
      <c r="M29" s="13">
        <f>Test!C27</f>
        <v>29.232800000000001</v>
      </c>
      <c r="N29" s="13">
        <f>Test!D27</f>
        <v>36.335500000000003</v>
      </c>
      <c r="O29" s="13">
        <f>Test!E27</f>
        <v>36.308399999999999</v>
      </c>
      <c r="P29" s="13">
        <f>Test!F27</f>
        <v>23988.959999999999</v>
      </c>
      <c r="Q29" s="13">
        <f>Test!G27</f>
        <v>13.69</v>
      </c>
      <c r="R29" s="14">
        <f t="shared" si="1"/>
        <v>6.6635999999999997</v>
      </c>
      <c r="S29" s="13">
        <f t="shared" si="2"/>
        <v>1.007287298434081</v>
      </c>
      <c r="T29" s="13">
        <f t="shared" si="3"/>
        <v>0.9792560801144492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129"/>
      <c r="B30" s="130"/>
      <c r="C30" s="26">
        <v>57</v>
      </c>
      <c r="D30" s="16">
        <f>Reference!B28</f>
        <v>61.44</v>
      </c>
      <c r="E30" s="17">
        <f>Reference!C28</f>
        <v>27.204499999999999</v>
      </c>
      <c r="F30" s="17">
        <f>Reference!D28</f>
        <v>33.726700000000001</v>
      </c>
      <c r="G30" s="17">
        <f>Reference!E28</f>
        <v>33.665700000000001</v>
      </c>
      <c r="H30" s="17">
        <f>Reference!F28</f>
        <v>13490.15</v>
      </c>
      <c r="I30" s="17">
        <f>Reference!G28</f>
        <v>12.17</v>
      </c>
      <c r="J30" s="18">
        <f t="shared" si="0"/>
        <v>3.7472638888888889</v>
      </c>
      <c r="L30" s="16">
        <f>Test!B28</f>
        <v>64.56</v>
      </c>
      <c r="M30" s="17">
        <f>Test!C28</f>
        <v>27.217099999999999</v>
      </c>
      <c r="N30" s="17">
        <f>Test!D28</f>
        <v>34.498600000000003</v>
      </c>
      <c r="O30" s="17">
        <f>Test!E28</f>
        <v>34.1845</v>
      </c>
      <c r="P30" s="17">
        <f>Test!F28</f>
        <v>13626.85</v>
      </c>
      <c r="Q30" s="17">
        <f>Test!G28</f>
        <v>11.92</v>
      </c>
      <c r="R30" s="18">
        <f t="shared" si="1"/>
        <v>3.7852361111111112</v>
      </c>
      <c r="S30" s="13">
        <f t="shared" si="2"/>
        <v>1.0101333194960769</v>
      </c>
      <c r="T30" s="13">
        <f t="shared" si="3"/>
        <v>0.97945768282662282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129"/>
      <c r="B31" s="128" t="s">
        <v>36</v>
      </c>
      <c r="C31" s="24">
        <v>42</v>
      </c>
      <c r="D31" s="9">
        <f>Reference!B29</f>
        <v>343.32</v>
      </c>
      <c r="E31" s="10">
        <f>Reference!C29</f>
        <v>37.682499999999997</v>
      </c>
      <c r="F31" s="10">
        <f>Reference!D29</f>
        <v>42.3553</v>
      </c>
      <c r="G31" s="10">
        <f>Reference!E29</f>
        <v>43.0062</v>
      </c>
      <c r="H31" s="10">
        <f>Reference!F29</f>
        <v>36383.21</v>
      </c>
      <c r="I31" s="10">
        <f>Reference!G29</f>
        <v>19.63</v>
      </c>
      <c r="J31" s="11">
        <f t="shared" si="0"/>
        <v>10.106447222222222</v>
      </c>
      <c r="L31" s="9">
        <f>Test!B29</f>
        <v>347.94</v>
      </c>
      <c r="M31" s="10">
        <f>Test!C29</f>
        <v>37.678699999999999</v>
      </c>
      <c r="N31" s="10">
        <f>Test!D29</f>
        <v>42.471400000000003</v>
      </c>
      <c r="O31" s="10">
        <f>Test!E29</f>
        <v>43.043500000000002</v>
      </c>
      <c r="P31" s="10">
        <f>Test!F29</f>
        <v>36860.89</v>
      </c>
      <c r="Q31" s="10">
        <f>Test!G29</f>
        <v>19.47</v>
      </c>
      <c r="R31" s="11">
        <f t="shared" si="1"/>
        <v>10.239136111111112</v>
      </c>
      <c r="S31" s="13">
        <f t="shared" si="2"/>
        <v>1.0131291329159797</v>
      </c>
      <c r="T31" s="13">
        <f t="shared" si="3"/>
        <v>0.99184921039225671</v>
      </c>
      <c r="U31" s="48"/>
      <c r="V31" s="30">
        <f>bdrate($D31:$D34,E31:E34,$L31:$L34,M31:M34)</f>
        <v>1.4570619776504978E-2</v>
      </c>
      <c r="W31" s="35">
        <f>bdrate($D31:$D34,F31:F34,$L31:$L34,N31:N34)</f>
        <v>-9.5710448052756081E-2</v>
      </c>
      <c r="X31" s="35">
        <f>bdrate($D31:$D34,G31:G34,$L31:$L34,O31:O34)</f>
        <v>1.5391972302011059E-2</v>
      </c>
      <c r="Y31" s="33">
        <f>bdrateOld($D31:$D34,E31:E34,$L31:$L34,M31:M34)</f>
        <v>1.4523172716632837E-2</v>
      </c>
      <c r="Z31" s="37">
        <f>bdrateOld($D31:$D34,F31:F34,$L31:$L34,N31:N34)</f>
        <v>-0.11529308089625823</v>
      </c>
      <c r="AA31" s="38">
        <f>bdrateOld($D31:$D34,G31:G34,$L31:$L34,O31:O34)</f>
        <v>1.4958003757404637E-2</v>
      </c>
    </row>
    <row r="32" spans="1:27" x14ac:dyDescent="0.2">
      <c r="A32" s="129"/>
      <c r="B32" s="129"/>
      <c r="C32" s="25">
        <v>47</v>
      </c>
      <c r="D32" s="12">
        <f>Reference!B30</f>
        <v>188.76</v>
      </c>
      <c r="E32" s="13">
        <f>Reference!C30</f>
        <v>34.69</v>
      </c>
      <c r="F32" s="13">
        <f>Reference!D30</f>
        <v>40.113900000000001</v>
      </c>
      <c r="G32" s="13">
        <f>Reference!E30</f>
        <v>40.496299999999998</v>
      </c>
      <c r="H32" s="13">
        <f>Reference!F30</f>
        <v>24879.55</v>
      </c>
      <c r="I32" s="13">
        <f>Reference!G30</f>
        <v>16.739999999999998</v>
      </c>
      <c r="J32" s="14">
        <f t="shared" si="0"/>
        <v>6.9109861111111108</v>
      </c>
      <c r="L32" s="12">
        <f>Test!B30</f>
        <v>190.44</v>
      </c>
      <c r="M32" s="13">
        <f>Test!C30</f>
        <v>34.703800000000001</v>
      </c>
      <c r="N32" s="13">
        <f>Test!D30</f>
        <v>40.570500000000003</v>
      </c>
      <c r="O32" s="13">
        <f>Test!E30</f>
        <v>40.3962</v>
      </c>
      <c r="P32" s="13">
        <f>Test!F30</f>
        <v>24794.23</v>
      </c>
      <c r="Q32" s="13">
        <f>Test!G30</f>
        <v>16.440000000000001</v>
      </c>
      <c r="R32" s="14">
        <f t="shared" si="1"/>
        <v>6.887286111111111</v>
      </c>
      <c r="S32" s="13">
        <f t="shared" si="2"/>
        <v>0.99657067752431217</v>
      </c>
      <c r="T32" s="13">
        <f t="shared" si="3"/>
        <v>0.98207885304659515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129"/>
      <c r="B33" s="129"/>
      <c r="C33" s="25">
        <v>52</v>
      </c>
      <c r="D33" s="12">
        <f>Reference!B31</f>
        <v>103.32</v>
      </c>
      <c r="E33" s="13">
        <f>Reference!C31</f>
        <v>31.8874</v>
      </c>
      <c r="F33" s="13">
        <f>Reference!D31</f>
        <v>39.026600000000002</v>
      </c>
      <c r="G33" s="13">
        <f>Reference!E31</f>
        <v>37.3889</v>
      </c>
      <c r="H33" s="13">
        <f>Reference!F31</f>
        <v>17196.63</v>
      </c>
      <c r="I33" s="13">
        <f>Reference!G31</f>
        <v>13.95</v>
      </c>
      <c r="J33" s="14">
        <f t="shared" si="0"/>
        <v>4.7768416666666669</v>
      </c>
      <c r="L33" s="12">
        <f>Test!B31</f>
        <v>105.54</v>
      </c>
      <c r="M33" s="13">
        <f>Test!C31</f>
        <v>31.9129</v>
      </c>
      <c r="N33" s="13">
        <f>Test!D31</f>
        <v>39.308</v>
      </c>
      <c r="O33" s="13">
        <f>Test!E31</f>
        <v>37.468200000000003</v>
      </c>
      <c r="P33" s="13">
        <f>Test!F31</f>
        <v>17211.490000000002</v>
      </c>
      <c r="Q33" s="13">
        <f>Test!G31</f>
        <v>13.82</v>
      </c>
      <c r="R33" s="14">
        <f t="shared" si="1"/>
        <v>4.7809694444444446</v>
      </c>
      <c r="S33" s="13">
        <f t="shared" si="2"/>
        <v>1.0008641227961526</v>
      </c>
      <c r="T33" s="13">
        <f t="shared" si="3"/>
        <v>0.9906810035842295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129"/>
      <c r="B34" s="130"/>
      <c r="C34" s="26">
        <v>57</v>
      </c>
      <c r="D34" s="16">
        <f>Reference!B32</f>
        <v>56.46</v>
      </c>
      <c r="E34" s="17">
        <f>Reference!C32</f>
        <v>29.0381</v>
      </c>
      <c r="F34" s="17">
        <f>Reference!D32</f>
        <v>37.516100000000002</v>
      </c>
      <c r="G34" s="17">
        <f>Reference!E32</f>
        <v>34.5702</v>
      </c>
      <c r="H34" s="17">
        <f>Reference!F32</f>
        <v>9631.58</v>
      </c>
      <c r="I34" s="17">
        <f>Reference!G32</f>
        <v>11.18</v>
      </c>
      <c r="J34" s="18">
        <f t="shared" si="0"/>
        <v>2.6754388888888889</v>
      </c>
      <c r="L34" s="16">
        <f>Test!B32</f>
        <v>58.56</v>
      </c>
      <c r="M34" s="17">
        <f>Test!C32</f>
        <v>29.0381</v>
      </c>
      <c r="N34" s="17">
        <f>Test!D32</f>
        <v>37.529600000000002</v>
      </c>
      <c r="O34" s="17">
        <f>Test!E32</f>
        <v>34.677700000000002</v>
      </c>
      <c r="P34" s="17">
        <f>Test!F32</f>
        <v>9632.09</v>
      </c>
      <c r="Q34" s="17">
        <f>Test!G32</f>
        <v>11.53</v>
      </c>
      <c r="R34" s="18">
        <f t="shared" si="1"/>
        <v>2.6755805555555554</v>
      </c>
      <c r="S34" s="13">
        <f t="shared" si="2"/>
        <v>1.0000529508138851</v>
      </c>
      <c r="T34" s="13">
        <f t="shared" si="3"/>
        <v>1.0313059033989267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129"/>
      <c r="B35" s="128" t="s">
        <v>37</v>
      </c>
      <c r="C35" s="24">
        <v>42</v>
      </c>
      <c r="D35" s="9">
        <f>Reference!B33</f>
        <v>840.05</v>
      </c>
      <c r="E35" s="10">
        <f>Reference!C33</f>
        <v>31.227699999999999</v>
      </c>
      <c r="F35" s="10">
        <f>Reference!D33</f>
        <v>36.361499999999999</v>
      </c>
      <c r="G35" s="10">
        <f>Reference!E33</f>
        <v>37.191899999999997</v>
      </c>
      <c r="H35" s="10">
        <f>Reference!F33</f>
        <v>59355.33</v>
      </c>
      <c r="I35" s="10">
        <f>Reference!G33</f>
        <v>22.92</v>
      </c>
      <c r="J35" s="11">
        <f t="shared" ref="J35:J66" si="4">H35/3600</f>
        <v>16.487591666666667</v>
      </c>
      <c r="L35" s="9">
        <f>Test!B33</f>
        <v>846.3</v>
      </c>
      <c r="M35" s="10">
        <f>Test!C33</f>
        <v>31.233599999999999</v>
      </c>
      <c r="N35" s="10">
        <f>Test!D33</f>
        <v>36.371200000000002</v>
      </c>
      <c r="O35" s="10">
        <f>Test!E33</f>
        <v>37.228400000000001</v>
      </c>
      <c r="P35" s="10">
        <f>Test!F33</f>
        <v>61474.18</v>
      </c>
      <c r="Q35" s="10">
        <f>Test!G33</f>
        <v>24.06</v>
      </c>
      <c r="R35" s="11">
        <f t="shared" ref="R35:R66" si="5">P35/3600</f>
        <v>17.076161111111112</v>
      </c>
      <c r="S35" s="13">
        <f t="shared" ref="S35:S66" si="6">P35/H35</f>
        <v>1.0356977208281042</v>
      </c>
      <c r="T35" s="13">
        <f t="shared" ref="T35:T66" si="7">Q35/I35</f>
        <v>1.0497382198952878</v>
      </c>
      <c r="U35" s="48"/>
      <c r="V35" s="30">
        <f>bdrate($D35:$D38,E35:E38,$L35:$L38,M35:M38)</f>
        <v>8.4847314972600341E-3</v>
      </c>
      <c r="W35" s="35">
        <f>bdrate($D35:$D38,F35:F38,$L35:$L38,N35:N38)</f>
        <v>-2.2043096773946447E-2</v>
      </c>
      <c r="X35" s="35">
        <f>bdrate($D35:$D38,G35:G38,$L35:$L38,O35:O38)</f>
        <v>-4.4247188917349356E-2</v>
      </c>
      <c r="Y35" s="33">
        <f>bdrateOld($D35:$D38,E35:E38,$L35:$L38,M35:M38)</f>
        <v>8.6573701376522205E-3</v>
      </c>
      <c r="Z35" s="37">
        <f>bdrateOld($D35:$D38,F35:F38,$L35:$L38,N35:N38)</f>
        <v>-2.242108417531774E-2</v>
      </c>
      <c r="AA35" s="38">
        <f>bdrateOld($D35:$D38,G35:G38,$L35:$L38,O35:O38)</f>
        <v>-4.4939572393017047E-2</v>
      </c>
    </row>
    <row r="36" spans="1:27" x14ac:dyDescent="0.2">
      <c r="A36" s="129"/>
      <c r="B36" s="129"/>
      <c r="C36" s="25">
        <v>47</v>
      </c>
      <c r="D36" s="12">
        <f>Reference!B34</f>
        <v>403.4</v>
      </c>
      <c r="E36" s="13">
        <f>Reference!C34</f>
        <v>28.606300000000001</v>
      </c>
      <c r="F36" s="13">
        <f>Reference!D34</f>
        <v>34.693100000000001</v>
      </c>
      <c r="G36" s="13">
        <f>Reference!E34</f>
        <v>34.7727</v>
      </c>
      <c r="H36" s="13">
        <f>Reference!F34</f>
        <v>39956.370000000003</v>
      </c>
      <c r="I36" s="13">
        <f>Reference!G34</f>
        <v>17.53</v>
      </c>
      <c r="J36" s="14">
        <f t="shared" si="4"/>
        <v>11.098991666666667</v>
      </c>
      <c r="L36" s="12">
        <f>Test!B34</f>
        <v>404.5</v>
      </c>
      <c r="M36" s="13">
        <f>Test!C34</f>
        <v>28.6037</v>
      </c>
      <c r="N36" s="13">
        <f>Test!D34</f>
        <v>34.673499999999997</v>
      </c>
      <c r="O36" s="13">
        <f>Test!E34</f>
        <v>34.820900000000002</v>
      </c>
      <c r="P36" s="13">
        <f>Test!F34</f>
        <v>40598.339999999997</v>
      </c>
      <c r="Q36" s="13">
        <f>Test!G34</f>
        <v>17.39</v>
      </c>
      <c r="R36" s="14">
        <f t="shared" si="5"/>
        <v>11.277316666666666</v>
      </c>
      <c r="S36" s="13">
        <f t="shared" si="6"/>
        <v>1.0160667748346508</v>
      </c>
      <c r="T36" s="13">
        <f t="shared" si="7"/>
        <v>0.99201369081574442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129"/>
      <c r="B37" s="129"/>
      <c r="C37" s="25">
        <v>52</v>
      </c>
      <c r="D37" s="12">
        <f>Reference!B35</f>
        <v>178.4</v>
      </c>
      <c r="E37" s="13">
        <f>Reference!C35</f>
        <v>26.169799999999999</v>
      </c>
      <c r="F37" s="13">
        <f>Reference!D35</f>
        <v>32.9133</v>
      </c>
      <c r="G37" s="13">
        <f>Reference!E35</f>
        <v>32.2423</v>
      </c>
      <c r="H37" s="13">
        <f>Reference!F35</f>
        <v>25400.82</v>
      </c>
      <c r="I37" s="13">
        <f>Reference!G35</f>
        <v>14.02</v>
      </c>
      <c r="J37" s="14">
        <f t="shared" si="4"/>
        <v>7.0557833333333333</v>
      </c>
      <c r="L37" s="12">
        <f>Test!B35</f>
        <v>180.85</v>
      </c>
      <c r="M37" s="13">
        <f>Test!C35</f>
        <v>26.184899999999999</v>
      </c>
      <c r="N37" s="13">
        <f>Test!D35</f>
        <v>33.0794</v>
      </c>
      <c r="O37" s="13">
        <f>Test!E35</f>
        <v>32.547600000000003</v>
      </c>
      <c r="P37" s="13">
        <f>Test!F35</f>
        <v>26105.279999999999</v>
      </c>
      <c r="Q37" s="13">
        <f>Test!G35</f>
        <v>14.48</v>
      </c>
      <c r="R37" s="14">
        <f t="shared" si="5"/>
        <v>7.2514666666666665</v>
      </c>
      <c r="S37" s="13">
        <f t="shared" si="6"/>
        <v>1.0277337503277453</v>
      </c>
      <c r="T37" s="13">
        <f t="shared" si="7"/>
        <v>1.0328102710413696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129"/>
      <c r="B38" s="130"/>
      <c r="C38" s="26">
        <v>57</v>
      </c>
      <c r="D38" s="16">
        <f>Reference!B36</f>
        <v>76.849999999999994</v>
      </c>
      <c r="E38" s="17">
        <f>Reference!C36</f>
        <v>24.154800000000002</v>
      </c>
      <c r="F38" s="17">
        <f>Reference!D36</f>
        <v>31.156099999999999</v>
      </c>
      <c r="G38" s="17">
        <f>Reference!E36</f>
        <v>29.5578</v>
      </c>
      <c r="H38" s="17">
        <f>Reference!F36</f>
        <v>14923.87</v>
      </c>
      <c r="I38" s="17">
        <f>Reference!G36</f>
        <v>11.46</v>
      </c>
      <c r="J38" s="18">
        <f t="shared" si="4"/>
        <v>4.145519444444445</v>
      </c>
      <c r="L38" s="16">
        <f>Test!B36</f>
        <v>81.3</v>
      </c>
      <c r="M38" s="17">
        <f>Test!C36</f>
        <v>24.203700000000001</v>
      </c>
      <c r="N38" s="17">
        <f>Test!D36</f>
        <v>31.3127</v>
      </c>
      <c r="O38" s="17">
        <f>Test!E36</f>
        <v>29.927499999999998</v>
      </c>
      <c r="P38" s="17">
        <f>Test!F36</f>
        <v>14875.76</v>
      </c>
      <c r="Q38" s="17">
        <f>Test!G36</f>
        <v>10.95</v>
      </c>
      <c r="R38" s="18">
        <f t="shared" si="5"/>
        <v>4.1321555555555554</v>
      </c>
      <c r="S38" s="13">
        <f t="shared" si="6"/>
        <v>0.99677630534171091</v>
      </c>
      <c r="T38" s="13">
        <f t="shared" si="7"/>
        <v>0.95549738219895275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129"/>
      <c r="B39" s="128" t="s">
        <v>42</v>
      </c>
      <c r="C39" s="24">
        <v>42</v>
      </c>
      <c r="D39" s="9">
        <f>Reference!B37</f>
        <v>392</v>
      </c>
      <c r="E39" s="10">
        <f>Reference!C37</f>
        <v>34.919199999999996</v>
      </c>
      <c r="F39" s="10">
        <f>Reference!D37</f>
        <v>40.501899999999999</v>
      </c>
      <c r="G39" s="10">
        <f>Reference!E37</f>
        <v>40.134300000000003</v>
      </c>
      <c r="H39" s="10">
        <f>Reference!F37</f>
        <v>50987.48</v>
      </c>
      <c r="I39" s="10">
        <f>Reference!G37</f>
        <v>20.04</v>
      </c>
      <c r="J39" s="11">
        <f t="shared" si="4"/>
        <v>14.163188888888889</v>
      </c>
      <c r="L39" s="9">
        <f>Test!B37</f>
        <v>394.5</v>
      </c>
      <c r="M39" s="10">
        <f>Test!C37</f>
        <v>34.915999999999997</v>
      </c>
      <c r="N39" s="10">
        <f>Test!D37</f>
        <v>40.601599999999998</v>
      </c>
      <c r="O39" s="10">
        <f>Test!E37</f>
        <v>40.091700000000003</v>
      </c>
      <c r="P39" s="10">
        <f>Test!F37</f>
        <v>51499.28</v>
      </c>
      <c r="Q39" s="10">
        <f>Test!G37</f>
        <v>20.55</v>
      </c>
      <c r="R39" s="11">
        <f t="shared" si="5"/>
        <v>14.305355555555556</v>
      </c>
      <c r="S39" s="13">
        <f t="shared" si="6"/>
        <v>1.0100377582888975</v>
      </c>
      <c r="T39" s="13">
        <f t="shared" si="7"/>
        <v>1.0254491017964074</v>
      </c>
      <c r="U39" s="48"/>
      <c r="V39" s="30">
        <f>bdrate($D39:$D42,E39:E42,$L39:$L42,M39:M42)</f>
        <v>8.8950380800483231E-3</v>
      </c>
      <c r="W39" s="35">
        <f>bdrate($D39:$D42,F39:F42,$L39:$L42,N39:N42)</f>
        <v>-4.4145373102807195E-2</v>
      </c>
      <c r="X39" s="35">
        <f>bdrate($D39:$D42,G39:G42,$L39:$L42,O39:O42)</f>
        <v>-5.0456978928516971E-3</v>
      </c>
      <c r="Y39" s="33">
        <f>bdrateOld($D39:$D42,E39:E42,$L39:$L42,M39:M42)</f>
        <v>8.8377782197932575E-3</v>
      </c>
      <c r="Z39" s="37">
        <f>bdrateOld($D39:$D42,F39:F42,$L39:$L42,N39:N42)</f>
        <v>-4.524702386295465E-2</v>
      </c>
      <c r="AA39" s="38">
        <f>bdrateOld($D39:$D42,G39:G42,$L39:$L42,O39:O42)</f>
        <v>-7.0599113116072143E-3</v>
      </c>
    </row>
    <row r="40" spans="1:27" x14ac:dyDescent="0.2">
      <c r="A40" s="129"/>
      <c r="B40" s="129"/>
      <c r="C40" s="25">
        <v>47</v>
      </c>
      <c r="D40" s="12">
        <f>Reference!B38</f>
        <v>206.6</v>
      </c>
      <c r="E40" s="13">
        <f>Reference!C38</f>
        <v>32.523000000000003</v>
      </c>
      <c r="F40" s="13">
        <f>Reference!D38</f>
        <v>38.279899999999998</v>
      </c>
      <c r="G40" s="13">
        <f>Reference!E38</f>
        <v>37.363100000000003</v>
      </c>
      <c r="H40" s="13">
        <f>Reference!F38</f>
        <v>33350.769999999997</v>
      </c>
      <c r="I40" s="13">
        <f>Reference!G38</f>
        <v>15.53</v>
      </c>
      <c r="J40" s="14">
        <f t="shared" si="4"/>
        <v>9.2641027777777776</v>
      </c>
      <c r="L40" s="12">
        <f>Test!B38</f>
        <v>212.4</v>
      </c>
      <c r="M40" s="13">
        <f>Test!C38</f>
        <v>32.564799999999998</v>
      </c>
      <c r="N40" s="13">
        <f>Test!D38</f>
        <v>38.332900000000002</v>
      </c>
      <c r="O40" s="13">
        <f>Test!E38</f>
        <v>37.491500000000002</v>
      </c>
      <c r="P40" s="13">
        <f>Test!F38</f>
        <v>34059.589999999997</v>
      </c>
      <c r="Q40" s="13">
        <f>Test!G38</f>
        <v>15.48</v>
      </c>
      <c r="R40" s="14">
        <f t="shared" si="5"/>
        <v>9.4609972222222218</v>
      </c>
      <c r="S40" s="13">
        <f t="shared" si="6"/>
        <v>1.0212534823034072</v>
      </c>
      <c r="T40" s="13">
        <f t="shared" si="7"/>
        <v>0.99678042498390218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129"/>
      <c r="B41" s="129"/>
      <c r="C41" s="25">
        <v>52</v>
      </c>
      <c r="D41" s="12">
        <f>Reference!B39</f>
        <v>110.95</v>
      </c>
      <c r="E41" s="13">
        <f>Reference!C39</f>
        <v>29.9666</v>
      </c>
      <c r="F41" s="13">
        <f>Reference!D39</f>
        <v>35.987699999999997</v>
      </c>
      <c r="G41" s="13">
        <f>Reference!E39</f>
        <v>35.095999999999997</v>
      </c>
      <c r="H41" s="13">
        <f>Reference!F39</f>
        <v>18847.009999999998</v>
      </c>
      <c r="I41" s="13">
        <f>Reference!G39</f>
        <v>12.41</v>
      </c>
      <c r="J41" s="14">
        <f t="shared" si="4"/>
        <v>5.2352805555555548</v>
      </c>
      <c r="L41" s="12">
        <f>Test!B39</f>
        <v>111.85</v>
      </c>
      <c r="M41" s="13">
        <f>Test!C39</f>
        <v>29.984200000000001</v>
      </c>
      <c r="N41" s="13">
        <f>Test!D39</f>
        <v>36.329500000000003</v>
      </c>
      <c r="O41" s="13">
        <f>Test!E39</f>
        <v>35.211300000000001</v>
      </c>
      <c r="P41" s="13">
        <f>Test!F39</f>
        <v>19175.439999999999</v>
      </c>
      <c r="Q41" s="13">
        <f>Test!G39</f>
        <v>12.41</v>
      </c>
      <c r="R41" s="14">
        <f t="shared" si="5"/>
        <v>5.3265111111111105</v>
      </c>
      <c r="S41" s="13">
        <f t="shared" si="6"/>
        <v>1.0174261063160681</v>
      </c>
      <c r="T41" s="13">
        <f t="shared" si="7"/>
        <v>1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129"/>
      <c r="B42" s="130"/>
      <c r="C42" s="26">
        <v>57</v>
      </c>
      <c r="D42" s="16">
        <f>Reference!B40</f>
        <v>58.95</v>
      </c>
      <c r="E42" s="17">
        <f>Reference!C40</f>
        <v>27.416</v>
      </c>
      <c r="F42" s="17">
        <f>Reference!D40</f>
        <v>33.301400000000001</v>
      </c>
      <c r="G42" s="17">
        <f>Reference!E40</f>
        <v>32.383400000000002</v>
      </c>
      <c r="H42" s="17">
        <f>Reference!F40</f>
        <v>9269.2900000000009</v>
      </c>
      <c r="I42" s="17">
        <f>Reference!G40</f>
        <v>10.35</v>
      </c>
      <c r="J42" s="18">
        <f t="shared" si="4"/>
        <v>2.5748027777777782</v>
      </c>
      <c r="L42" s="16">
        <f>Test!B40</f>
        <v>59.25</v>
      </c>
      <c r="M42" s="17">
        <f>Test!C40</f>
        <v>27.427099999999999</v>
      </c>
      <c r="N42" s="17">
        <f>Test!D40</f>
        <v>33.824100000000001</v>
      </c>
      <c r="O42" s="17">
        <f>Test!E40</f>
        <v>32.298699999999997</v>
      </c>
      <c r="P42" s="17">
        <f>Test!F40</f>
        <v>9343.8799999999992</v>
      </c>
      <c r="Q42" s="17">
        <f>Test!G40</f>
        <v>10.43</v>
      </c>
      <c r="R42" s="18">
        <f t="shared" si="5"/>
        <v>2.5955222222222218</v>
      </c>
      <c r="S42" s="13">
        <f t="shared" si="6"/>
        <v>1.0080470025212285</v>
      </c>
      <c r="T42" s="13">
        <f t="shared" si="7"/>
        <v>1.0077294685990339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129"/>
      <c r="B43" s="128" t="s">
        <v>43</v>
      </c>
      <c r="C43" s="24">
        <v>42</v>
      </c>
      <c r="D43" s="9">
        <f>Reference!B41</f>
        <v>1623.6</v>
      </c>
      <c r="E43" s="10">
        <f>Reference!C41</f>
        <v>29.330200000000001</v>
      </c>
      <c r="F43" s="10">
        <f>Reference!D41</f>
        <v>37.085799999999999</v>
      </c>
      <c r="G43" s="10">
        <f>Reference!E41</f>
        <v>39.4499</v>
      </c>
      <c r="H43" s="10">
        <f>Reference!F41</f>
        <v>44585.78</v>
      </c>
      <c r="I43" s="10">
        <f>Reference!G41</f>
        <v>33.409999999999997</v>
      </c>
      <c r="J43" s="11">
        <f t="shared" si="4"/>
        <v>12.384938888888888</v>
      </c>
      <c r="L43" s="9">
        <f>Test!B41</f>
        <v>1617.84</v>
      </c>
      <c r="M43" s="10">
        <f>Test!C41</f>
        <v>29.3262</v>
      </c>
      <c r="N43" s="10">
        <f>Test!D41</f>
        <v>37.040399999999998</v>
      </c>
      <c r="O43" s="10">
        <f>Test!E41</f>
        <v>39.521799999999999</v>
      </c>
      <c r="P43" s="10">
        <f>Test!F41</f>
        <v>46057.63</v>
      </c>
      <c r="Q43" s="10">
        <f>Test!G41</f>
        <v>33.380000000000003</v>
      </c>
      <c r="R43" s="11">
        <f t="shared" si="5"/>
        <v>12.79378611111111</v>
      </c>
      <c r="S43" s="13">
        <f t="shared" si="6"/>
        <v>1.0330116463141388</v>
      </c>
      <c r="T43" s="13">
        <f t="shared" si="7"/>
        <v>0.9991020652499254</v>
      </c>
      <c r="U43" s="48"/>
      <c r="V43" s="30">
        <f>bdrate($D43:$D46,E43:E46,$L43:$L46,M43:M46)</f>
        <v>3.8262037653093994E-3</v>
      </c>
      <c r="W43" s="35">
        <f>bdrate($D43:$D46,F43:F46,$L43:$L46,N43:N46)</f>
        <v>-7.6518063915009482E-2</v>
      </c>
      <c r="X43" s="35">
        <f>bdrate($D43:$D46,G43:G46,$L43:$L46,O43:O46)</f>
        <v>3.7880654944805636E-2</v>
      </c>
      <c r="Y43" s="33">
        <f>bdrateOld($D43:$D46,E43:E46,$L43:$L46,M43:M46)</f>
        <v>4.0950944461755068E-3</v>
      </c>
      <c r="Z43" s="37">
        <f>bdrateOld($D43:$D46,F43:F46,$L43:$L46,N43:N46)</f>
        <v>-8.3995622773243683E-2</v>
      </c>
      <c r="AA43" s="38">
        <f>bdrateOld($D43:$D46,G43:G46,$L43:$L46,O43:O46)</f>
        <v>6.8090473836242227E-2</v>
      </c>
    </row>
    <row r="44" spans="1:27" x14ac:dyDescent="0.2">
      <c r="A44" s="129"/>
      <c r="B44" s="129"/>
      <c r="C44" s="25">
        <v>47</v>
      </c>
      <c r="D44" s="12">
        <f>Reference!B42</f>
        <v>771.6</v>
      </c>
      <c r="E44" s="13">
        <f>Reference!C42</f>
        <v>26.5246</v>
      </c>
      <c r="F44" s="13">
        <f>Reference!D42</f>
        <v>35.855400000000003</v>
      </c>
      <c r="G44" s="13">
        <f>Reference!E42</f>
        <v>38.136299999999999</v>
      </c>
      <c r="H44" s="13">
        <f>Reference!F42</f>
        <v>50547.63</v>
      </c>
      <c r="I44" s="13">
        <f>Reference!G42</f>
        <v>22.36</v>
      </c>
      <c r="J44" s="14">
        <f t="shared" si="4"/>
        <v>14.041008333333332</v>
      </c>
      <c r="L44" s="12">
        <f>Test!B42</f>
        <v>783.48</v>
      </c>
      <c r="M44" s="13">
        <f>Test!C42</f>
        <v>26.566199999999998</v>
      </c>
      <c r="N44" s="13">
        <f>Test!D42</f>
        <v>35.925199999999997</v>
      </c>
      <c r="O44" s="13">
        <f>Test!E42</f>
        <v>38.2911</v>
      </c>
      <c r="P44" s="13">
        <f>Test!F42</f>
        <v>51140.28</v>
      </c>
      <c r="Q44" s="13">
        <f>Test!G42</f>
        <v>21.67</v>
      </c>
      <c r="R44" s="14">
        <f t="shared" si="5"/>
        <v>14.205633333333333</v>
      </c>
      <c r="S44" s="13">
        <f t="shared" si="6"/>
        <v>1.011724585306967</v>
      </c>
      <c r="T44" s="13">
        <f t="shared" si="7"/>
        <v>0.96914132379248663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129"/>
      <c r="B45" s="129"/>
      <c r="C45" s="25">
        <v>52</v>
      </c>
      <c r="D45" s="12">
        <f>Reference!B43</f>
        <v>329.76</v>
      </c>
      <c r="E45" s="13">
        <f>Reference!C43</f>
        <v>23.828299999999999</v>
      </c>
      <c r="F45" s="13">
        <f>Reference!D43</f>
        <v>34.762300000000003</v>
      </c>
      <c r="G45" s="13">
        <f>Reference!E43</f>
        <v>36.9664</v>
      </c>
      <c r="H45" s="13">
        <f>Reference!F43</f>
        <v>33778.93</v>
      </c>
      <c r="I45" s="13">
        <f>Reference!G43</f>
        <v>16.77</v>
      </c>
      <c r="J45" s="14">
        <f t="shared" si="4"/>
        <v>9.383036111111112</v>
      </c>
      <c r="L45" s="12">
        <f>Test!B43</f>
        <v>333.36</v>
      </c>
      <c r="M45" s="13">
        <f>Test!C43</f>
        <v>23.848400000000002</v>
      </c>
      <c r="N45" s="13">
        <f>Test!D43</f>
        <v>34.970700000000001</v>
      </c>
      <c r="O45" s="13">
        <f>Test!E43</f>
        <v>36.693800000000003</v>
      </c>
      <c r="P45" s="13">
        <f>Test!F43</f>
        <v>34831.589999999997</v>
      </c>
      <c r="Q45" s="13">
        <f>Test!G43</f>
        <v>17.2</v>
      </c>
      <c r="R45" s="14">
        <f t="shared" si="5"/>
        <v>9.6754416666666661</v>
      </c>
      <c r="S45" s="13">
        <f t="shared" si="6"/>
        <v>1.0311632132811783</v>
      </c>
      <c r="T45" s="13">
        <f t="shared" si="7"/>
        <v>1.0256410256410255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130"/>
      <c r="B46" s="130"/>
      <c r="C46" s="26">
        <v>57</v>
      </c>
      <c r="D46" s="16">
        <f>Reference!B44</f>
        <v>131.22</v>
      </c>
      <c r="E46" s="17">
        <f>Reference!C44</f>
        <v>21.584900000000001</v>
      </c>
      <c r="F46" s="17">
        <f>Reference!D44</f>
        <v>33.320099999999996</v>
      </c>
      <c r="G46" s="17">
        <f>Reference!E44</f>
        <v>34.764400000000002</v>
      </c>
      <c r="H46" s="17">
        <f>Reference!F44</f>
        <v>20733.009999999998</v>
      </c>
      <c r="I46" s="17">
        <f>Reference!G44</f>
        <v>13.29</v>
      </c>
      <c r="J46" s="18">
        <f t="shared" si="4"/>
        <v>5.7591694444444439</v>
      </c>
      <c r="L46" s="16">
        <f>Test!B44</f>
        <v>133.13999999999999</v>
      </c>
      <c r="M46" s="17">
        <f>Test!C44</f>
        <v>21.584900000000001</v>
      </c>
      <c r="N46" s="17">
        <f>Test!D44</f>
        <v>33.485100000000003</v>
      </c>
      <c r="O46" s="17">
        <f>Test!E44</f>
        <v>34.950499999999998</v>
      </c>
      <c r="P46" s="17">
        <f>Test!F44</f>
        <v>20944.89</v>
      </c>
      <c r="Q46" s="17">
        <f>Test!G44</f>
        <v>12.91</v>
      </c>
      <c r="R46" s="18">
        <f t="shared" si="5"/>
        <v>5.8180249999999996</v>
      </c>
      <c r="S46" s="13">
        <f t="shared" si="6"/>
        <v>1.0102194519753764</v>
      </c>
      <c r="T46" s="13">
        <f t="shared" si="7"/>
        <v>0.97140707298720852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128" t="s">
        <v>9</v>
      </c>
      <c r="B47" s="128" t="s">
        <v>44</v>
      </c>
      <c r="C47" s="24">
        <v>42</v>
      </c>
      <c r="D47" s="9">
        <f>Reference!B45</f>
        <v>190.7</v>
      </c>
      <c r="E47" s="10">
        <f>Reference!C45</f>
        <v>31.4068</v>
      </c>
      <c r="F47" s="10">
        <f>Reference!D45</f>
        <v>36.774000000000001</v>
      </c>
      <c r="G47" s="10">
        <f>Reference!E45</f>
        <v>36.878599999999999</v>
      </c>
      <c r="H47" s="10">
        <f>Reference!F45</f>
        <v>10453.43</v>
      </c>
      <c r="I47" s="10">
        <f>Reference!G45</f>
        <v>6.03</v>
      </c>
      <c r="J47" s="11">
        <f t="shared" si="4"/>
        <v>2.9037305555555557</v>
      </c>
      <c r="L47" s="9">
        <f>Test!B45</f>
        <v>188.1</v>
      </c>
      <c r="M47" s="10">
        <f>Test!C45</f>
        <v>31.3154</v>
      </c>
      <c r="N47" s="10">
        <f>Test!D45</f>
        <v>36.868699999999997</v>
      </c>
      <c r="O47" s="10">
        <f>Test!E45</f>
        <v>36.820599999999999</v>
      </c>
      <c r="P47" s="10">
        <f>Test!F45</f>
        <v>10629.44</v>
      </c>
      <c r="Q47" s="10">
        <f>Test!G45</f>
        <v>6.05</v>
      </c>
      <c r="R47" s="11">
        <f t="shared" si="5"/>
        <v>2.9526222222222223</v>
      </c>
      <c r="S47" s="10">
        <f t="shared" si="6"/>
        <v>1.016837535622279</v>
      </c>
      <c r="T47" s="10">
        <f t="shared" si="7"/>
        <v>1.0033167495854063</v>
      </c>
      <c r="U47" s="47"/>
      <c r="V47" s="30">
        <f>bdrate($D47:$D50,E47:E50,$L47:$L50,M47:M50)</f>
        <v>1.1917811197402095E-2</v>
      </c>
      <c r="W47" s="35">
        <f>bdrate($D47:$D50,F47:F50,$L47:$L50,N47:N50)</f>
        <v>-2.6787480388501428E-2</v>
      </c>
      <c r="X47" s="36">
        <f>bdrate($D47:$D50,G47:G50,$L47:$L50,O47:O50)</f>
        <v>-1.8681437393444189E-2</v>
      </c>
      <c r="Y47" s="30">
        <f>bdrateOld($D47:$D50,E47:E50,$L47:$L50,M47:M50)</f>
        <v>1.0996890794793712E-2</v>
      </c>
      <c r="Z47" s="35">
        <f>bdrateOld($D47:$D50,F47:F50,$L47:$L50,N47:N50)</f>
        <v>-2.9418128764774676E-2</v>
      </c>
      <c r="AA47" s="36">
        <f>bdrateOld($D47:$D50,G47:G50,$L47:$L50,O47:O50)</f>
        <v>-1.6279753377943074E-2</v>
      </c>
    </row>
    <row r="48" spans="1:27" x14ac:dyDescent="0.2">
      <c r="A48" s="129" t="s">
        <v>71</v>
      </c>
      <c r="B48" s="129"/>
      <c r="C48" s="25">
        <v>47</v>
      </c>
      <c r="D48" s="12">
        <f>Reference!B46</f>
        <v>97</v>
      </c>
      <c r="E48" s="13">
        <f>Reference!C46</f>
        <v>28.593399999999999</v>
      </c>
      <c r="F48" s="13">
        <f>Reference!D46</f>
        <v>33.861199999999997</v>
      </c>
      <c r="G48" s="13">
        <f>Reference!E46</f>
        <v>33.564700000000002</v>
      </c>
      <c r="H48" s="13">
        <f>Reference!F46</f>
        <v>8162.86</v>
      </c>
      <c r="I48" s="13">
        <f>Reference!G46</f>
        <v>4.03</v>
      </c>
      <c r="J48" s="14">
        <f t="shared" si="4"/>
        <v>2.2674611111111109</v>
      </c>
      <c r="L48" s="12">
        <f>Test!B46</f>
        <v>95.85</v>
      </c>
      <c r="M48" s="13">
        <f>Test!C46</f>
        <v>28.584900000000001</v>
      </c>
      <c r="N48" s="13">
        <f>Test!D46</f>
        <v>33.952500000000001</v>
      </c>
      <c r="O48" s="13">
        <f>Test!E46</f>
        <v>33.615699999999997</v>
      </c>
      <c r="P48" s="13">
        <f>Test!F46</f>
        <v>8339.85</v>
      </c>
      <c r="Q48" s="13">
        <f>Test!G46</f>
        <v>4.16</v>
      </c>
      <c r="R48" s="14">
        <f t="shared" si="5"/>
        <v>2.3166250000000002</v>
      </c>
      <c r="S48" s="13">
        <f t="shared" si="6"/>
        <v>1.0216823515287534</v>
      </c>
      <c r="T48" s="13">
        <f t="shared" si="7"/>
        <v>1.032258064516129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129"/>
      <c r="B49" s="129"/>
      <c r="C49" s="25">
        <v>52</v>
      </c>
      <c r="D49" s="12">
        <f>Reference!B47</f>
        <v>43.2</v>
      </c>
      <c r="E49" s="13">
        <f>Reference!C47</f>
        <v>25.925899999999999</v>
      </c>
      <c r="F49" s="13">
        <f>Reference!D47</f>
        <v>31.04</v>
      </c>
      <c r="G49" s="13">
        <f>Reference!E47</f>
        <v>31.290500000000002</v>
      </c>
      <c r="H49" s="13">
        <f>Reference!F47</f>
        <v>5935.31</v>
      </c>
      <c r="I49" s="13">
        <f>Reference!G47</f>
        <v>3.1</v>
      </c>
      <c r="J49" s="14">
        <f t="shared" si="4"/>
        <v>1.6486972222222223</v>
      </c>
      <c r="L49" s="12">
        <f>Test!B47</f>
        <v>43.45</v>
      </c>
      <c r="M49" s="13">
        <f>Test!C47</f>
        <v>25.8277</v>
      </c>
      <c r="N49" s="13">
        <f>Test!D47</f>
        <v>31.0307</v>
      </c>
      <c r="O49" s="13">
        <f>Test!E47</f>
        <v>31.3687</v>
      </c>
      <c r="P49" s="13">
        <f>Test!F47</f>
        <v>6110.46</v>
      </c>
      <c r="Q49" s="13">
        <f>Test!G47</f>
        <v>3.12</v>
      </c>
      <c r="R49" s="14">
        <f t="shared" si="5"/>
        <v>1.6973499999999999</v>
      </c>
      <c r="S49" s="13">
        <f t="shared" si="6"/>
        <v>1.0295098318369216</v>
      </c>
      <c r="T49" s="13">
        <f t="shared" si="7"/>
        <v>1.0064516129032257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129"/>
      <c r="B50" s="130"/>
      <c r="C50" s="26">
        <v>57</v>
      </c>
      <c r="D50" s="16">
        <f>Reference!B48</f>
        <v>17.350000000000001</v>
      </c>
      <c r="E50" s="17">
        <f>Reference!C48</f>
        <v>23.803899999999999</v>
      </c>
      <c r="F50" s="17">
        <f>Reference!D48</f>
        <v>29.146000000000001</v>
      </c>
      <c r="G50" s="17">
        <f>Reference!E48</f>
        <v>29.582999999999998</v>
      </c>
      <c r="H50" s="17">
        <f>Reference!F48</f>
        <v>3497.21</v>
      </c>
      <c r="I50" s="17">
        <f>Reference!G48</f>
        <v>2.33</v>
      </c>
      <c r="J50" s="18">
        <f t="shared" si="4"/>
        <v>0.97144722222222224</v>
      </c>
      <c r="L50" s="16">
        <f>Test!B48</f>
        <v>17.55</v>
      </c>
      <c r="M50" s="17">
        <f>Test!C48</f>
        <v>23.803899999999999</v>
      </c>
      <c r="N50" s="17">
        <f>Test!D48</f>
        <v>29.375399999999999</v>
      </c>
      <c r="O50" s="17">
        <f>Test!E48</f>
        <v>29.558900000000001</v>
      </c>
      <c r="P50" s="17">
        <f>Test!F48</f>
        <v>3524.38</v>
      </c>
      <c r="Q50" s="17">
        <f>Test!G48</f>
        <v>2.42</v>
      </c>
      <c r="R50" s="18">
        <f t="shared" si="5"/>
        <v>0.9789944444444445</v>
      </c>
      <c r="S50" s="13">
        <f t="shared" si="6"/>
        <v>1.0077690501857195</v>
      </c>
      <c r="T50" s="13">
        <f t="shared" si="7"/>
        <v>1.03862660944206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129"/>
      <c r="B51" s="128" t="s">
        <v>45</v>
      </c>
      <c r="C51" s="24">
        <v>42</v>
      </c>
      <c r="D51" s="9">
        <f>Reference!B49</f>
        <v>368.64</v>
      </c>
      <c r="E51" s="10">
        <f>Reference!C49</f>
        <v>29.693300000000001</v>
      </c>
      <c r="F51" s="10">
        <f>Reference!D49</f>
        <v>36.756</v>
      </c>
      <c r="G51" s="10">
        <f>Reference!E49</f>
        <v>37.469900000000003</v>
      </c>
      <c r="H51" s="10">
        <f>Reference!F49</f>
        <v>12512.8</v>
      </c>
      <c r="I51" s="10">
        <f>Reference!G49</f>
        <v>5.35</v>
      </c>
      <c r="J51" s="11">
        <f t="shared" si="4"/>
        <v>3.4757777777777776</v>
      </c>
      <c r="L51" s="9">
        <f>Test!B49</f>
        <v>370.44</v>
      </c>
      <c r="M51" s="10">
        <f>Test!C49</f>
        <v>29.684100000000001</v>
      </c>
      <c r="N51" s="10">
        <f>Test!D49</f>
        <v>36.900500000000001</v>
      </c>
      <c r="O51" s="10">
        <f>Test!E49</f>
        <v>37.3735</v>
      </c>
      <c r="P51" s="10">
        <f>Test!F49</f>
        <v>12871.27</v>
      </c>
      <c r="Q51" s="10">
        <f>Test!G49</f>
        <v>5.46</v>
      </c>
      <c r="R51" s="11">
        <f t="shared" si="5"/>
        <v>3.5753527777777778</v>
      </c>
      <c r="S51" s="13">
        <f t="shared" si="6"/>
        <v>1.0286482641774823</v>
      </c>
      <c r="T51" s="13">
        <f t="shared" si="7"/>
        <v>1.0205607476635514</v>
      </c>
      <c r="U51" s="48"/>
      <c r="V51" s="30">
        <f>bdrate($D51:$D54,E51:E54,$L51:$L54,M51:M54)</f>
        <v>5.1821396846145618E-3</v>
      </c>
      <c r="W51" s="35">
        <f>bdrate($D51:$D54,F51:F54,$L51:$L54,N51:N54)</f>
        <v>-2.820291294018018E-2</v>
      </c>
      <c r="X51" s="35">
        <f>bdrate($D51:$D54,G51:G54,$L51:$L54,O51:O54)</f>
        <v>-1.5904479449334485E-2</v>
      </c>
      <c r="Y51" s="33">
        <f>bdrateOld($D51:$D54,E51:E54,$L51:$L54,M51:M54)</f>
        <v>5.2081326303909936E-3</v>
      </c>
      <c r="Z51" s="37">
        <f>bdrateOld($D51:$D54,F51:F54,$L51:$L54,N51:N54)</f>
        <v>-2.8359807977909046E-2</v>
      </c>
      <c r="AA51" s="38">
        <f>bdrateOld($D51:$D54,G51:G54,$L51:$L54,O51:O54)</f>
        <v>-1.4875167585405746E-2</v>
      </c>
    </row>
    <row r="52" spans="1:27" x14ac:dyDescent="0.2">
      <c r="A52" s="129"/>
      <c r="B52" s="129"/>
      <c r="C52" s="25">
        <v>47</v>
      </c>
      <c r="D52" s="12">
        <f>Reference!B50</f>
        <v>178.38</v>
      </c>
      <c r="E52" s="13">
        <f>Reference!C50</f>
        <v>26.790500000000002</v>
      </c>
      <c r="F52" s="13">
        <f>Reference!D50</f>
        <v>34.734299999999998</v>
      </c>
      <c r="G52" s="13">
        <f>Reference!E50</f>
        <v>35.113700000000001</v>
      </c>
      <c r="H52" s="13">
        <f>Reference!F50</f>
        <v>9255.0300000000007</v>
      </c>
      <c r="I52" s="13">
        <f>Reference!G50</f>
        <v>4.57</v>
      </c>
      <c r="J52" s="14">
        <f t="shared" si="4"/>
        <v>2.5708416666666669</v>
      </c>
      <c r="L52" s="12">
        <f>Test!B50</f>
        <v>176.64</v>
      </c>
      <c r="M52" s="13">
        <f>Test!C50</f>
        <v>26.742999999999999</v>
      </c>
      <c r="N52" s="13">
        <f>Test!D50</f>
        <v>34.762900000000002</v>
      </c>
      <c r="O52" s="13">
        <f>Test!E50</f>
        <v>35.085999999999999</v>
      </c>
      <c r="P52" s="13">
        <f>Test!F50</f>
        <v>9131.67</v>
      </c>
      <c r="Q52" s="13">
        <f>Test!G50</f>
        <v>4.25</v>
      </c>
      <c r="R52" s="14">
        <f t="shared" si="5"/>
        <v>2.536575</v>
      </c>
      <c r="S52" s="13">
        <f t="shared" si="6"/>
        <v>0.98667103186051253</v>
      </c>
      <c r="T52" s="13">
        <f t="shared" si="7"/>
        <v>0.92997811816192555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129"/>
      <c r="B53" s="129"/>
      <c r="C53" s="25">
        <v>52</v>
      </c>
      <c r="D53" s="12">
        <f>Reference!B51</f>
        <v>81.66</v>
      </c>
      <c r="E53" s="13">
        <f>Reference!C51</f>
        <v>24.106300000000001</v>
      </c>
      <c r="F53" s="13">
        <f>Reference!D51</f>
        <v>32.350900000000003</v>
      </c>
      <c r="G53" s="13">
        <f>Reference!E51</f>
        <v>32.672800000000002</v>
      </c>
      <c r="H53" s="13">
        <f>Reference!F51</f>
        <v>6970.14</v>
      </c>
      <c r="I53" s="13">
        <f>Reference!G51</f>
        <v>3.53</v>
      </c>
      <c r="J53" s="14">
        <f t="shared" si="4"/>
        <v>1.93615</v>
      </c>
      <c r="L53" s="12">
        <f>Test!B51</f>
        <v>83.16</v>
      </c>
      <c r="M53" s="13">
        <f>Test!C51</f>
        <v>24.151</v>
      </c>
      <c r="N53" s="13">
        <f>Test!D51</f>
        <v>32.499099999999999</v>
      </c>
      <c r="O53" s="13">
        <f>Test!E51</f>
        <v>32.874400000000001</v>
      </c>
      <c r="P53" s="13">
        <f>Test!F51</f>
        <v>6848.09</v>
      </c>
      <c r="Q53" s="13">
        <f>Test!G51</f>
        <v>3.41</v>
      </c>
      <c r="R53" s="14">
        <f t="shared" si="5"/>
        <v>1.9022472222222222</v>
      </c>
      <c r="S53" s="13">
        <f t="shared" si="6"/>
        <v>0.98248959131380431</v>
      </c>
      <c r="T53" s="13">
        <f t="shared" si="7"/>
        <v>0.96600566572237967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129"/>
      <c r="B54" s="130"/>
      <c r="C54" s="26">
        <v>57</v>
      </c>
      <c r="D54" s="16">
        <f>Reference!B52</f>
        <v>36.119999999999997</v>
      </c>
      <c r="E54" s="17">
        <f>Reference!C52</f>
        <v>21.901599999999998</v>
      </c>
      <c r="F54" s="17">
        <f>Reference!D52</f>
        <v>30.3308</v>
      </c>
      <c r="G54" s="17">
        <f>Reference!E52</f>
        <v>30.7729</v>
      </c>
      <c r="H54" s="17">
        <f>Reference!F52</f>
        <v>4801.74</v>
      </c>
      <c r="I54" s="17">
        <f>Reference!G52</f>
        <v>2.68</v>
      </c>
      <c r="J54" s="18">
        <f t="shared" si="4"/>
        <v>1.3338166666666667</v>
      </c>
      <c r="L54" s="16">
        <f>Test!B52</f>
        <v>36.72</v>
      </c>
      <c r="M54" s="17">
        <f>Test!C52</f>
        <v>21.901599999999998</v>
      </c>
      <c r="N54" s="17">
        <f>Test!D52</f>
        <v>30.4162</v>
      </c>
      <c r="O54" s="17">
        <f>Test!E52</f>
        <v>30.808199999999999</v>
      </c>
      <c r="P54" s="17">
        <f>Test!F52</f>
        <v>4658.79</v>
      </c>
      <c r="Q54" s="17">
        <f>Test!G52</f>
        <v>2.73</v>
      </c>
      <c r="R54" s="18">
        <f t="shared" si="5"/>
        <v>1.2941083333333334</v>
      </c>
      <c r="S54" s="13">
        <f t="shared" si="6"/>
        <v>0.97022954179110077</v>
      </c>
      <c r="T54" s="13">
        <f t="shared" si="7"/>
        <v>1.0186567164179103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129"/>
      <c r="B55" s="128" t="s">
        <v>72</v>
      </c>
      <c r="C55" s="24">
        <v>42</v>
      </c>
      <c r="D55" s="9">
        <f>Reference!B53</f>
        <v>600.85</v>
      </c>
      <c r="E55" s="10">
        <f>Reference!C53</f>
        <v>26.250499999999999</v>
      </c>
      <c r="F55" s="10">
        <f>Reference!D53</f>
        <v>33.611899999999999</v>
      </c>
      <c r="G55" s="10">
        <f>Reference!E53</f>
        <v>34.027000000000001</v>
      </c>
      <c r="H55" s="10">
        <f>Reference!F53</f>
        <v>12100.81</v>
      </c>
      <c r="I55" s="10">
        <f>Reference!G53</f>
        <v>7.35</v>
      </c>
      <c r="J55" s="11">
        <f t="shared" si="4"/>
        <v>3.3613361111111111</v>
      </c>
      <c r="L55" s="9">
        <f>Test!B53</f>
        <v>601.20000000000005</v>
      </c>
      <c r="M55" s="10">
        <f>Test!C53</f>
        <v>26.249400000000001</v>
      </c>
      <c r="N55" s="10">
        <f>Test!D53</f>
        <v>33.610700000000001</v>
      </c>
      <c r="O55" s="10">
        <f>Test!E53</f>
        <v>33.870199999999997</v>
      </c>
      <c r="P55" s="10">
        <f>Test!F53</f>
        <v>12644.73</v>
      </c>
      <c r="Q55" s="10">
        <f>Test!G53</f>
        <v>7.57</v>
      </c>
      <c r="R55" s="11">
        <f t="shared" si="5"/>
        <v>3.5124249999999999</v>
      </c>
      <c r="S55" s="13">
        <f t="shared" si="6"/>
        <v>1.0449490571292335</v>
      </c>
      <c r="T55" s="13">
        <f t="shared" si="7"/>
        <v>1.0299319727891156</v>
      </c>
      <c r="U55" s="48"/>
      <c r="V55" s="30">
        <f>bdrate($D55:$D58,E55:E58,$L55:$L58,M55:M58)</f>
        <v>5.2693457210406525E-3</v>
      </c>
      <c r="W55" s="35">
        <f>bdrate($D55:$D58,F55:F58,$L55:$L58,N55:N58)</f>
        <v>-3.5620626990708115E-2</v>
      </c>
      <c r="X55" s="35">
        <f>bdrate($D55:$D58,G55:G58,$L55:$L58,O55:O58)</f>
        <v>-3.2933077840240021E-2</v>
      </c>
      <c r="Y55" s="33">
        <f>bdrateOld($D55:$D58,E55:E58,$L55:$L58,M55:M58)</f>
        <v>8.7350785573729883E-3</v>
      </c>
      <c r="Z55" s="37">
        <f>bdrateOld($D55:$D58,F55:F58,$L55:$L58,N55:N58)</f>
        <v>-3.5722948381698205E-2</v>
      </c>
      <c r="AA55" s="38">
        <f>bdrateOld($D55:$D58,G55:G58,$L55:$L58,O55:O58)</f>
        <v>-4.2108125395295626E-2</v>
      </c>
    </row>
    <row r="56" spans="1:27" x14ac:dyDescent="0.2">
      <c r="A56" s="129"/>
      <c r="B56" s="129"/>
      <c r="C56" s="25">
        <v>47</v>
      </c>
      <c r="D56" s="12">
        <f>Reference!B54</f>
        <v>232.15</v>
      </c>
      <c r="E56" s="13">
        <f>Reference!C54</f>
        <v>23.306100000000001</v>
      </c>
      <c r="F56" s="13">
        <f>Reference!D54</f>
        <v>31.5748</v>
      </c>
      <c r="G56" s="13">
        <f>Reference!E54</f>
        <v>31.6936</v>
      </c>
      <c r="H56" s="13">
        <f>Reference!F54</f>
        <v>10642.21</v>
      </c>
      <c r="I56" s="13">
        <f>Reference!G54</f>
        <v>5.48</v>
      </c>
      <c r="J56" s="14">
        <f t="shared" si="4"/>
        <v>2.9561694444444444</v>
      </c>
      <c r="L56" s="12">
        <f>Test!B54</f>
        <v>231.95</v>
      </c>
      <c r="M56" s="13">
        <f>Test!C54</f>
        <v>23.2804</v>
      </c>
      <c r="N56" s="13">
        <f>Test!D54</f>
        <v>31.610800000000001</v>
      </c>
      <c r="O56" s="13">
        <f>Test!E54</f>
        <v>31.8369</v>
      </c>
      <c r="P56" s="13">
        <f>Test!F54</f>
        <v>10929.59</v>
      </c>
      <c r="Q56" s="13">
        <f>Test!G54</f>
        <v>5.48</v>
      </c>
      <c r="R56" s="14">
        <f t="shared" si="5"/>
        <v>3.0359972222222225</v>
      </c>
      <c r="S56" s="13">
        <f t="shared" si="6"/>
        <v>1.0270037896264028</v>
      </c>
      <c r="T56" s="13">
        <f t="shared" si="7"/>
        <v>1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129"/>
      <c r="B57" s="129"/>
      <c r="C57" s="25">
        <v>52</v>
      </c>
      <c r="D57" s="12">
        <f>Reference!B55</f>
        <v>74.650000000000006</v>
      </c>
      <c r="E57" s="13">
        <f>Reference!C55</f>
        <v>21.119700000000002</v>
      </c>
      <c r="F57" s="13">
        <f>Reference!D55</f>
        <v>29.764900000000001</v>
      </c>
      <c r="G57" s="13">
        <f>Reference!E55</f>
        <v>30.061699999999998</v>
      </c>
      <c r="H57" s="13">
        <f>Reference!F55</f>
        <v>9010.57</v>
      </c>
      <c r="I57" s="13">
        <f>Reference!G55</f>
        <v>4.2699999999999996</v>
      </c>
      <c r="J57" s="14">
        <f t="shared" si="4"/>
        <v>2.502936111111111</v>
      </c>
      <c r="L57" s="12">
        <f>Test!B55</f>
        <v>73.599999999999994</v>
      </c>
      <c r="M57" s="13">
        <f>Test!C55</f>
        <v>21.107600000000001</v>
      </c>
      <c r="N57" s="13">
        <f>Test!D55</f>
        <v>29.822399999999998</v>
      </c>
      <c r="O57" s="13">
        <f>Test!E55</f>
        <v>30.018000000000001</v>
      </c>
      <c r="P57" s="13">
        <f>Test!F55</f>
        <v>9142.33</v>
      </c>
      <c r="Q57" s="13">
        <f>Test!G55</f>
        <v>4.47</v>
      </c>
      <c r="R57" s="14">
        <f t="shared" si="5"/>
        <v>2.539536111111111</v>
      </c>
      <c r="S57" s="13">
        <f t="shared" si="6"/>
        <v>1.0146228263028865</v>
      </c>
      <c r="T57" s="13">
        <f t="shared" si="7"/>
        <v>1.0468384074941453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129"/>
      <c r="B58" s="130"/>
      <c r="C58" s="26">
        <v>57</v>
      </c>
      <c r="D58" s="16">
        <f>Reference!B56</f>
        <v>28.6</v>
      </c>
      <c r="E58" s="17">
        <f>Reference!C56</f>
        <v>19.8965</v>
      </c>
      <c r="F58" s="17">
        <f>Reference!D56</f>
        <v>28.116</v>
      </c>
      <c r="G58" s="17">
        <f>Reference!E56</f>
        <v>28.158999999999999</v>
      </c>
      <c r="H58" s="17">
        <f>Reference!F56</f>
        <v>7001.07</v>
      </c>
      <c r="I58" s="17">
        <f>Reference!G56</f>
        <v>3.25</v>
      </c>
      <c r="J58" s="18">
        <f t="shared" si="4"/>
        <v>1.9447416666666666</v>
      </c>
      <c r="L58" s="16">
        <f>Test!B56</f>
        <v>28.5</v>
      </c>
      <c r="M58" s="17">
        <f>Test!C56</f>
        <v>19.861799999999999</v>
      </c>
      <c r="N58" s="17">
        <f>Test!D56</f>
        <v>28.298999999999999</v>
      </c>
      <c r="O58" s="17">
        <f>Test!E56</f>
        <v>28.383299999999998</v>
      </c>
      <c r="P58" s="17">
        <f>Test!F56</f>
        <v>7066.1</v>
      </c>
      <c r="Q58" s="17">
        <f>Test!G56</f>
        <v>3.28</v>
      </c>
      <c r="R58" s="18">
        <f t="shared" si="5"/>
        <v>1.9628055555555557</v>
      </c>
      <c r="S58" s="13">
        <f t="shared" si="6"/>
        <v>1.0092885801741736</v>
      </c>
      <c r="T58" s="13">
        <f t="shared" si="7"/>
        <v>1.0092307692307692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129"/>
      <c r="B59" s="128" t="s">
        <v>51</v>
      </c>
      <c r="C59" s="24">
        <v>42</v>
      </c>
      <c r="D59" s="9">
        <f>Reference!B57</f>
        <v>166.59</v>
      </c>
      <c r="E59" s="10">
        <f>Reference!C57</f>
        <v>28.817</v>
      </c>
      <c r="F59" s="10">
        <f>Reference!D57</f>
        <v>35.006500000000003</v>
      </c>
      <c r="G59" s="10">
        <f>Reference!E57</f>
        <v>35.967500000000001</v>
      </c>
      <c r="H59" s="10">
        <f>Reference!F57</f>
        <v>6258.36</v>
      </c>
      <c r="I59" s="10">
        <f>Reference!G57</f>
        <v>2.91</v>
      </c>
      <c r="J59" s="11">
        <f t="shared" si="4"/>
        <v>1.7384333333333333</v>
      </c>
      <c r="L59" s="9">
        <f>Test!B57</f>
        <v>165.93</v>
      </c>
      <c r="M59" s="10">
        <f>Test!C57</f>
        <v>28.771000000000001</v>
      </c>
      <c r="N59" s="10">
        <f>Test!D57</f>
        <v>34.947299999999998</v>
      </c>
      <c r="O59" s="10">
        <f>Test!E57</f>
        <v>35.774700000000003</v>
      </c>
      <c r="P59" s="10">
        <f>Test!F57</f>
        <v>6277.66</v>
      </c>
      <c r="Q59" s="10">
        <f>Test!G57</f>
        <v>2.85</v>
      </c>
      <c r="R59" s="11">
        <f t="shared" si="5"/>
        <v>1.7437944444444444</v>
      </c>
      <c r="S59" s="13">
        <f t="shared" si="6"/>
        <v>1.0030838750087883</v>
      </c>
      <c r="T59" s="13">
        <f t="shared" si="7"/>
        <v>0.97938144329896903</v>
      </c>
      <c r="U59" s="48"/>
      <c r="V59" s="30">
        <f>bdrate($D59:$D62,E59:E62,$L59:$L62,M59:M62)</f>
        <v>3.9135428600094446E-3</v>
      </c>
      <c r="W59" s="35">
        <f>bdrate($D59:$D62,F59:F62,$L59:$L62,N59:N62)</f>
        <v>7.0963913385024391E-2</v>
      </c>
      <c r="X59" s="35">
        <f>bdrate($D59:$D62,G59:G62,$L59:$L62,O59:O62)</f>
        <v>5.8073812851870521E-2</v>
      </c>
      <c r="Y59" s="33">
        <f>bdrateOld($D59:$D62,E59:E62,$L59:$L62,M59:M62)</f>
        <v>3.9076310705568051E-3</v>
      </c>
      <c r="Z59" s="37">
        <f>bdrateOld($D59:$D62,F59:F62,$L59:$L62,N59:N62)</f>
        <v>7.0026240467304213E-2</v>
      </c>
      <c r="AA59" s="38">
        <f>bdrateOld($D59:$D62,G59:G62,$L59:$L62,O59:O62)</f>
        <v>5.6849686292057111E-2</v>
      </c>
    </row>
    <row r="60" spans="1:27" x14ac:dyDescent="0.2">
      <c r="A60" s="129"/>
      <c r="B60" s="129"/>
      <c r="C60" s="25">
        <v>47</v>
      </c>
      <c r="D60" s="12">
        <f>Reference!B58</f>
        <v>82.11</v>
      </c>
      <c r="E60" s="13">
        <f>Reference!C58</f>
        <v>26.731100000000001</v>
      </c>
      <c r="F60" s="13">
        <f>Reference!D58</f>
        <v>32.890799999999999</v>
      </c>
      <c r="G60" s="13">
        <f>Reference!E58</f>
        <v>33.330100000000002</v>
      </c>
      <c r="H60" s="13">
        <f>Reference!F58</f>
        <v>4817.66</v>
      </c>
      <c r="I60" s="13">
        <f>Reference!G58</f>
        <v>2.31</v>
      </c>
      <c r="J60" s="14">
        <f t="shared" si="4"/>
        <v>1.3382388888888888</v>
      </c>
      <c r="L60" s="12">
        <f>Test!B58</f>
        <v>82.86</v>
      </c>
      <c r="M60" s="13">
        <f>Test!C58</f>
        <v>26.763200000000001</v>
      </c>
      <c r="N60" s="13">
        <f>Test!D58</f>
        <v>32.756999999999998</v>
      </c>
      <c r="O60" s="13">
        <f>Test!E58</f>
        <v>33.0901</v>
      </c>
      <c r="P60" s="13">
        <f>Test!F58</f>
        <v>4978.6899999999996</v>
      </c>
      <c r="Q60" s="13">
        <f>Test!G58</f>
        <v>2.4500000000000002</v>
      </c>
      <c r="R60" s="14">
        <f t="shared" si="5"/>
        <v>1.3829694444444443</v>
      </c>
      <c r="S60" s="13">
        <f t="shared" si="6"/>
        <v>1.0334249407388649</v>
      </c>
      <c r="T60" s="13">
        <f t="shared" si="7"/>
        <v>1.0606060606060606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129"/>
      <c r="B61" s="129"/>
      <c r="C61" s="25">
        <v>52</v>
      </c>
      <c r="D61" s="12">
        <f>Reference!B59</f>
        <v>41.31</v>
      </c>
      <c r="E61" s="13">
        <f>Reference!C59</f>
        <v>24.712900000000001</v>
      </c>
      <c r="F61" s="13">
        <f>Reference!D59</f>
        <v>30.680800000000001</v>
      </c>
      <c r="G61" s="13">
        <f>Reference!E59</f>
        <v>30.494499999999999</v>
      </c>
      <c r="H61" s="13">
        <f>Reference!F59</f>
        <v>3760.17</v>
      </c>
      <c r="I61" s="13">
        <f>Reference!G59</f>
        <v>1.99</v>
      </c>
      <c r="J61" s="14">
        <f t="shared" si="4"/>
        <v>1.0444916666666666</v>
      </c>
      <c r="L61" s="12">
        <f>Test!B59</f>
        <v>41.88</v>
      </c>
      <c r="M61" s="13">
        <f>Test!C59</f>
        <v>24.750800000000002</v>
      </c>
      <c r="N61" s="13">
        <f>Test!D59</f>
        <v>30.3371</v>
      </c>
      <c r="O61" s="13">
        <f>Test!E59</f>
        <v>30.3064</v>
      </c>
      <c r="P61" s="13">
        <f>Test!F59</f>
        <v>3848.8</v>
      </c>
      <c r="Q61" s="13">
        <f>Test!G59</f>
        <v>1.99</v>
      </c>
      <c r="R61" s="14">
        <f t="shared" si="5"/>
        <v>1.0691111111111111</v>
      </c>
      <c r="S61" s="13">
        <f t="shared" si="6"/>
        <v>1.0235707428121601</v>
      </c>
      <c r="T61" s="13">
        <f t="shared" si="7"/>
        <v>1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130"/>
      <c r="B62" s="130"/>
      <c r="C62" s="26">
        <v>57</v>
      </c>
      <c r="D62" s="16">
        <f>Reference!B60</f>
        <v>19.29</v>
      </c>
      <c r="E62" s="17">
        <f>Reference!C60</f>
        <v>22.3949</v>
      </c>
      <c r="F62" s="17">
        <f>Reference!D60</f>
        <v>28.212599999999998</v>
      </c>
      <c r="G62" s="17">
        <f>Reference!E60</f>
        <v>27.8583</v>
      </c>
      <c r="H62" s="17">
        <f>Reference!F60</f>
        <v>2641.55</v>
      </c>
      <c r="I62" s="17">
        <f>Reference!G60</f>
        <v>1.59</v>
      </c>
      <c r="J62" s="18">
        <f t="shared" si="4"/>
        <v>0.73376388888888899</v>
      </c>
      <c r="L62" s="16">
        <f>Test!B60</f>
        <v>20.100000000000001</v>
      </c>
      <c r="M62" s="17">
        <f>Test!C60</f>
        <v>22.4604</v>
      </c>
      <c r="N62" s="17">
        <f>Test!D60</f>
        <v>28.305299999999999</v>
      </c>
      <c r="O62" s="17">
        <f>Test!E60</f>
        <v>28.006499999999999</v>
      </c>
      <c r="P62" s="17">
        <f>Test!F60</f>
        <v>2611.96</v>
      </c>
      <c r="Q62" s="17">
        <f>Test!G60</f>
        <v>1.52</v>
      </c>
      <c r="R62" s="18">
        <f t="shared" si="5"/>
        <v>0.72554444444444444</v>
      </c>
      <c r="S62" s="17">
        <f t="shared" si="6"/>
        <v>0.9887982434555469</v>
      </c>
      <c r="T62" s="17">
        <f t="shared" si="7"/>
        <v>0.95597484276729561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42</v>
      </c>
      <c r="D63" s="9">
        <f>Reference!B61</f>
        <v>599.45399999999995</v>
      </c>
      <c r="E63" s="10">
        <f>Reference!C61</f>
        <v>43.585000000000001</v>
      </c>
      <c r="F63" s="10">
        <f>Reference!D61</f>
        <v>45.275500000000001</v>
      </c>
      <c r="G63" s="10">
        <f>Reference!E61</f>
        <v>45.091999999999999</v>
      </c>
      <c r="H63" s="10">
        <f>Reference!F61</f>
        <v>2531.7800000000002</v>
      </c>
      <c r="I63" s="10">
        <f>Reference!G61</f>
        <v>1.27</v>
      </c>
      <c r="J63" s="11">
        <f t="shared" si="4"/>
        <v>0.7032722222222223</v>
      </c>
      <c r="L63" s="9">
        <f>Test!B61</f>
        <v>588.01110000000006</v>
      </c>
      <c r="M63" s="10">
        <f>Test!C61</f>
        <v>43.586199999999998</v>
      </c>
      <c r="N63" s="10">
        <f>Test!D61</f>
        <v>45.608199999999997</v>
      </c>
      <c r="O63" s="10">
        <f>Test!E61</f>
        <v>45.391800000000003</v>
      </c>
      <c r="P63" s="10">
        <f>Test!F61</f>
        <v>2575.96</v>
      </c>
      <c r="Q63" s="10">
        <f>Test!G61</f>
        <v>1.28</v>
      </c>
      <c r="R63" s="11">
        <f t="shared" si="5"/>
        <v>0.71554444444444443</v>
      </c>
      <c r="S63" s="10">
        <f t="shared" si="6"/>
        <v>1.0174501733957926</v>
      </c>
      <c r="T63" s="10">
        <f t="shared" si="7"/>
        <v>1.0078740157480315</v>
      </c>
      <c r="U63" s="47"/>
      <c r="V63" s="30">
        <f>bdrate($D63:$D66,E63:E66,$L63:$L66,M63:M66)</f>
        <v>-2.042617853689388E-2</v>
      </c>
      <c r="W63" s="35">
        <f>bdrate($D63:$D66,F63:F66,$L63:$L66,N63:N66)</f>
        <v>-0.14814208990075528</v>
      </c>
      <c r="X63" s="36">
        <f>bdrate($D63:$D66,G63:G66,$L63:$L66,O63:O66)</f>
        <v>-0.11859826319163225</v>
      </c>
      <c r="Y63" s="30">
        <f>bdrateOld($D63:$D66,E63:E66,$L63:$L66,M63:M66)</f>
        <v>-2.042535393358258E-2</v>
      </c>
      <c r="Z63" s="35">
        <f>bdrateOld($D63:$D66,F63:F66,$L63:$L66,N63:N66)</f>
        <v>-0.14648838005018483</v>
      </c>
      <c r="AA63" s="36">
        <f>bdrateOld($D63:$D66,G63:G66,$L63:$L66,O63:O66)</f>
        <v>-0.11689458707255596</v>
      </c>
    </row>
    <row r="64" spans="1:27" x14ac:dyDescent="0.2">
      <c r="A64" s="25" t="s">
        <v>73</v>
      </c>
      <c r="B64" s="25"/>
      <c r="C64" s="25">
        <f>C60</f>
        <v>47</v>
      </c>
      <c r="D64" s="12">
        <f>Reference!B62</f>
        <v>359.0754</v>
      </c>
      <c r="E64" s="13">
        <f>Reference!C62</f>
        <v>39.990400000000001</v>
      </c>
      <c r="F64" s="13">
        <f>Reference!D62</f>
        <v>42.219299999999997</v>
      </c>
      <c r="G64" s="13">
        <f>Reference!E62</f>
        <v>41.7652</v>
      </c>
      <c r="H64" s="13">
        <f>Reference!F62</f>
        <v>1989.4</v>
      </c>
      <c r="I64" s="13">
        <f>Reference!G62</f>
        <v>0.99</v>
      </c>
      <c r="J64" s="14">
        <f t="shared" si="4"/>
        <v>0.55261111111111116</v>
      </c>
      <c r="L64" s="12">
        <f>Test!B62</f>
        <v>351.94049999999999</v>
      </c>
      <c r="M64" s="13">
        <f>Test!C62</f>
        <v>39.988399999999999</v>
      </c>
      <c r="N64" s="13">
        <f>Test!D62</f>
        <v>42.7776</v>
      </c>
      <c r="O64" s="13">
        <f>Test!E62</f>
        <v>42.204700000000003</v>
      </c>
      <c r="P64" s="13">
        <f>Test!F62</f>
        <v>2041.89</v>
      </c>
      <c r="Q64" s="13">
        <f>Test!G62</f>
        <v>0.99</v>
      </c>
      <c r="R64" s="14">
        <f t="shared" si="5"/>
        <v>0.56719166666666665</v>
      </c>
      <c r="S64" s="13">
        <f t="shared" si="6"/>
        <v>1.0263848396501458</v>
      </c>
      <c r="T64" s="13">
        <f t="shared" si="7"/>
        <v>1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52</v>
      </c>
      <c r="D65" s="12">
        <f>Reference!B63</f>
        <v>207.51669999999999</v>
      </c>
      <c r="E65" s="13">
        <f>Reference!C63</f>
        <v>36.6038</v>
      </c>
      <c r="F65" s="13">
        <f>Reference!D63</f>
        <v>39.93</v>
      </c>
      <c r="G65" s="13">
        <f>Reference!E63</f>
        <v>39.265900000000002</v>
      </c>
      <c r="H65" s="13">
        <f>Reference!F63</f>
        <v>1520.18</v>
      </c>
      <c r="I65" s="13">
        <f>Reference!G63</f>
        <v>0.81</v>
      </c>
      <c r="J65" s="14">
        <f t="shared" si="4"/>
        <v>0.42227222222222222</v>
      </c>
      <c r="L65" s="12">
        <f>Test!B63</f>
        <v>203.10239999999999</v>
      </c>
      <c r="M65" s="13">
        <f>Test!C63</f>
        <v>36.601900000000001</v>
      </c>
      <c r="N65" s="13">
        <f>Test!D63</f>
        <v>40.616599999999998</v>
      </c>
      <c r="O65" s="13">
        <f>Test!E63</f>
        <v>39.848599999999998</v>
      </c>
      <c r="P65" s="13">
        <f>Test!F63</f>
        <v>1550.29</v>
      </c>
      <c r="Q65" s="13">
        <f>Test!G63</f>
        <v>0.8</v>
      </c>
      <c r="R65" s="14">
        <f t="shared" si="5"/>
        <v>0.43063611111111111</v>
      </c>
      <c r="S65" s="13">
        <f t="shared" si="6"/>
        <v>1.019806864976516</v>
      </c>
      <c r="T65" s="13">
        <f t="shared" si="7"/>
        <v>0.98765432098765427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57</v>
      </c>
      <c r="D66" s="16">
        <f>Reference!B64</f>
        <v>116.28570000000001</v>
      </c>
      <c r="E66" s="17">
        <f>Reference!C64</f>
        <v>33.4223</v>
      </c>
      <c r="F66" s="17">
        <f>Reference!D64</f>
        <v>38.235999999999997</v>
      </c>
      <c r="G66" s="17">
        <f>Reference!E64</f>
        <v>37.396900000000002</v>
      </c>
      <c r="H66" s="17">
        <f>Reference!F64</f>
        <v>981.43</v>
      </c>
      <c r="I66" s="17">
        <f>Reference!G64</f>
        <v>0.64</v>
      </c>
      <c r="J66" s="18">
        <f t="shared" si="4"/>
        <v>0.27261944444444441</v>
      </c>
      <c r="L66" s="16">
        <f>Test!B64</f>
        <v>113.71980000000001</v>
      </c>
      <c r="M66" s="17">
        <f>Test!C64</f>
        <v>33.427700000000002</v>
      </c>
      <c r="N66" s="17">
        <f>Test!D64</f>
        <v>38.9238</v>
      </c>
      <c r="O66" s="17">
        <f>Test!E64</f>
        <v>37.978400000000001</v>
      </c>
      <c r="P66" s="17">
        <f>Test!F64</f>
        <v>995.75</v>
      </c>
      <c r="Q66" s="17">
        <f>Test!G64</f>
        <v>0.63</v>
      </c>
      <c r="R66" s="18">
        <f t="shared" si="5"/>
        <v>0.27659722222222222</v>
      </c>
      <c r="S66" s="13">
        <f t="shared" si="6"/>
        <v>1.0145909540160787</v>
      </c>
      <c r="T66" s="13">
        <f t="shared" si="7"/>
        <v>0.984375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Reference!B65</f>
        <v>1545.7608</v>
      </c>
      <c r="E67" s="10">
        <f>Reference!C65</f>
        <v>41.915599999999998</v>
      </c>
      <c r="F67" s="10">
        <f>Reference!D65</f>
        <v>43.301299999999998</v>
      </c>
      <c r="G67" s="10">
        <f>Reference!E65</f>
        <v>44.346899999999998</v>
      </c>
      <c r="H67" s="10">
        <f>Reference!F65</f>
        <v>3438.06</v>
      </c>
      <c r="I67" s="10">
        <f>Reference!G65</f>
        <v>2.09</v>
      </c>
      <c r="J67" s="11">
        <f t="shared" ref="J67:J98" si="8">H67/3600</f>
        <v>0.95501666666666662</v>
      </c>
      <c r="L67" s="9">
        <f>Test!B65</f>
        <v>1540.4208000000001</v>
      </c>
      <c r="M67" s="10">
        <f>Test!C65</f>
        <v>41.916200000000003</v>
      </c>
      <c r="N67" s="10">
        <f>Test!D65</f>
        <v>43.527900000000002</v>
      </c>
      <c r="O67" s="10">
        <f>Test!E65</f>
        <v>44.645400000000002</v>
      </c>
      <c r="P67" s="10">
        <f>Test!F65</f>
        <v>3526.84</v>
      </c>
      <c r="Q67" s="10">
        <f>Test!G65</f>
        <v>2.11</v>
      </c>
      <c r="R67" s="11">
        <f t="shared" ref="R67:R98" si="9">P67/3600</f>
        <v>0.97967777777777787</v>
      </c>
      <c r="S67" s="13">
        <f t="shared" ref="S67:S98" si="10">P67/H67</f>
        <v>1.0258227023379465</v>
      </c>
      <c r="T67" s="13">
        <f t="shared" ref="T67:T98" si="11">Q67/I67</f>
        <v>1.0095693779904307</v>
      </c>
      <c r="U67" s="48"/>
      <c r="V67" s="30">
        <f>bdrate($D67:$D70,E67:E70,$L67:$L70,M67:M70)</f>
        <v>-4.8196567158986792E-4</v>
      </c>
      <c r="W67" s="35">
        <f>bdrate($D67:$D70,F67:F70,$L67:$L70,N67:N70)</f>
        <v>-6.543437814923303E-2</v>
      </c>
      <c r="X67" s="35">
        <f>bdrate($D67:$D70,G67:G70,$L67:$L70,O67:O70)</f>
        <v>-9.0095792620792259E-2</v>
      </c>
      <c r="Y67" s="33">
        <f>bdrateOld($D67:$D70,E67:E70,$L67:$L70,M67:M70)</f>
        <v>-4.3813649717461267E-4</v>
      </c>
      <c r="Z67" s="37">
        <f>bdrateOld($D67:$D70,F67:F70,$L67:$L70,N67:N70)</f>
        <v>-6.3748903707556037E-2</v>
      </c>
      <c r="AA67" s="38">
        <f>bdrateOld($D67:$D70,G67:G70,$L67:$L70,O67:O70)</f>
        <v>-9.149314342237258E-2</v>
      </c>
    </row>
    <row r="68" spans="1:27" x14ac:dyDescent="0.2">
      <c r="A68" s="25"/>
      <c r="B68" s="25"/>
      <c r="C68" s="25">
        <v>27</v>
      </c>
      <c r="D68" s="12">
        <f>Reference!B66</f>
        <v>978.2296</v>
      </c>
      <c r="E68" s="13">
        <f>Reference!C66</f>
        <v>37.437600000000003</v>
      </c>
      <c r="F68" s="13">
        <f>Reference!D66</f>
        <v>40.604700000000001</v>
      </c>
      <c r="G68" s="13">
        <f>Reference!E66</f>
        <v>41.736400000000003</v>
      </c>
      <c r="H68" s="13">
        <f>Reference!F66</f>
        <v>2907.04</v>
      </c>
      <c r="I68" s="13">
        <f>Reference!G66</f>
        <v>1.57</v>
      </c>
      <c r="J68" s="14">
        <f t="shared" si="8"/>
        <v>0.80751111111111107</v>
      </c>
      <c r="L68" s="12">
        <f>Test!B66</f>
        <v>977.62</v>
      </c>
      <c r="M68" s="13">
        <f>Test!C66</f>
        <v>37.433700000000002</v>
      </c>
      <c r="N68" s="13">
        <f>Test!D66</f>
        <v>40.859299999999998</v>
      </c>
      <c r="O68" s="13">
        <f>Test!E66</f>
        <v>42.113300000000002</v>
      </c>
      <c r="P68" s="13">
        <f>Test!F66</f>
        <v>2964.46</v>
      </c>
      <c r="Q68" s="13">
        <f>Test!G66</f>
        <v>1.61</v>
      </c>
      <c r="R68" s="14">
        <f t="shared" si="9"/>
        <v>0.82346111111111109</v>
      </c>
      <c r="S68" s="13">
        <f t="shared" si="10"/>
        <v>1.0197520501953878</v>
      </c>
      <c r="T68" s="13">
        <f t="shared" si="11"/>
        <v>1.0254777070063694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Reference!B67</f>
        <v>595.38160000000005</v>
      </c>
      <c r="E69" s="13">
        <f>Reference!C67</f>
        <v>33.572800000000001</v>
      </c>
      <c r="F69" s="13">
        <f>Reference!D67</f>
        <v>39.112499999999997</v>
      </c>
      <c r="G69" s="13">
        <f>Reference!E67</f>
        <v>40.155299999999997</v>
      </c>
      <c r="H69" s="13">
        <f>Reference!F67</f>
        <v>2352.09</v>
      </c>
      <c r="I69" s="13">
        <f>Reference!G67</f>
        <v>1.25</v>
      </c>
      <c r="J69" s="14">
        <f t="shared" si="8"/>
        <v>0.65335833333333337</v>
      </c>
      <c r="L69" s="12">
        <f>Test!B67</f>
        <v>595.60559999999998</v>
      </c>
      <c r="M69" s="13">
        <f>Test!C67</f>
        <v>33.575800000000001</v>
      </c>
      <c r="N69" s="13">
        <f>Test!D67</f>
        <v>39.3247</v>
      </c>
      <c r="O69" s="13">
        <f>Test!E67</f>
        <v>40.463099999999997</v>
      </c>
      <c r="P69" s="13">
        <f>Test!F67</f>
        <v>2409.9499999999998</v>
      </c>
      <c r="Q69" s="13">
        <f>Test!G67</f>
        <v>1.26</v>
      </c>
      <c r="R69" s="14">
        <f t="shared" si="9"/>
        <v>0.66943055555555553</v>
      </c>
      <c r="S69" s="13">
        <f t="shared" si="10"/>
        <v>1.0245993988325275</v>
      </c>
      <c r="T69" s="13">
        <f t="shared" si="11"/>
        <v>1.008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Reference!B68</f>
        <v>349.3408</v>
      </c>
      <c r="E70" s="17">
        <f>Reference!C68</f>
        <v>30.044799999999999</v>
      </c>
      <c r="F70" s="17">
        <f>Reference!D68</f>
        <v>38.217100000000002</v>
      </c>
      <c r="G70" s="17">
        <f>Reference!E68</f>
        <v>39.002600000000001</v>
      </c>
      <c r="H70" s="17">
        <f>Reference!F68</f>
        <v>1827.96</v>
      </c>
      <c r="I70" s="17">
        <f>Reference!G68</f>
        <v>1</v>
      </c>
      <c r="J70" s="18">
        <f t="shared" si="8"/>
        <v>0.5077666666666667</v>
      </c>
      <c r="L70" s="16">
        <f>Test!B68</f>
        <v>349.49919999999997</v>
      </c>
      <c r="M70" s="17">
        <f>Test!C68</f>
        <v>30.0412</v>
      </c>
      <c r="N70" s="17">
        <f>Test!D68</f>
        <v>38.407499999999999</v>
      </c>
      <c r="O70" s="17">
        <f>Test!E68</f>
        <v>39.311100000000003</v>
      </c>
      <c r="P70" s="17">
        <f>Test!F68</f>
        <v>1837.04</v>
      </c>
      <c r="Q70" s="17">
        <f>Test!G68</f>
        <v>1.01</v>
      </c>
      <c r="R70" s="18">
        <f t="shared" si="9"/>
        <v>0.5102888888888889</v>
      </c>
      <c r="S70" s="13">
        <f t="shared" si="10"/>
        <v>1.0049672859362349</v>
      </c>
      <c r="T70" s="13">
        <f t="shared" si="11"/>
        <v>1.01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Reference!B69</f>
        <v>1360.9937</v>
      </c>
      <c r="E71" s="10">
        <f>Reference!C69</f>
        <v>41.690899999999999</v>
      </c>
      <c r="F71" s="10">
        <f>Reference!D69</f>
        <v>42.103099999999998</v>
      </c>
      <c r="G71" s="10">
        <f>Reference!E69</f>
        <v>42.919400000000003</v>
      </c>
      <c r="H71" s="10">
        <f>Reference!F69</f>
        <v>3262.02</v>
      </c>
      <c r="I71" s="10">
        <f>Reference!G69</f>
        <v>2.0099999999999998</v>
      </c>
      <c r="J71" s="11">
        <f t="shared" si="8"/>
        <v>0.90611666666666668</v>
      </c>
      <c r="L71" s="9">
        <f>Test!B69</f>
        <v>1345.1635000000001</v>
      </c>
      <c r="M71" s="10">
        <f>Test!C69</f>
        <v>41.684899999999999</v>
      </c>
      <c r="N71" s="10">
        <f>Test!D69</f>
        <v>42.286000000000001</v>
      </c>
      <c r="O71" s="10">
        <f>Test!E69</f>
        <v>43.152099999999997</v>
      </c>
      <c r="P71" s="10">
        <f>Test!F69</f>
        <v>3391.57</v>
      </c>
      <c r="Q71" s="10">
        <f>Test!G69</f>
        <v>2.0299999999999998</v>
      </c>
      <c r="R71" s="11">
        <f t="shared" si="9"/>
        <v>0.94210277777777784</v>
      </c>
      <c r="S71" s="13">
        <f t="shared" si="10"/>
        <v>1.0397146553362642</v>
      </c>
      <c r="T71" s="13">
        <f t="shared" si="11"/>
        <v>1.0099502487562189</v>
      </c>
      <c r="U71" s="48"/>
      <c r="V71" s="30">
        <f>bdrate($D71:$D74,E71:E74,$L71:$L74,M71:M74)</f>
        <v>-9.7178919548139842E-3</v>
      </c>
      <c r="W71" s="35">
        <f>bdrate($D71:$D74,F71:F74,$L71:$L74,N71:N74)</f>
        <v>-0.11028139372442569</v>
      </c>
      <c r="X71" s="35">
        <f>bdrate($D71:$D74,G71:G74,$L71:$L74,O71:O74)</f>
        <v>-0.10839124118081922</v>
      </c>
      <c r="Y71" s="33">
        <f>bdrateOld($D71:$D74,E71:E74,$L71:$L74,M71:M74)</f>
        <v>-9.7228430981309844E-3</v>
      </c>
      <c r="Z71" s="37">
        <f>bdrateOld($D71:$D74,F71:F74,$L71:$L74,N71:N74)</f>
        <v>-0.10654287084909764</v>
      </c>
      <c r="AA71" s="38">
        <f>bdrateOld($D71:$D74,G71:G74,$L71:$L74,O71:O74)</f>
        <v>-0.10570718166460347</v>
      </c>
    </row>
    <row r="72" spans="1:27" x14ac:dyDescent="0.2">
      <c r="A72" s="25"/>
      <c r="B72" s="25"/>
      <c r="C72" s="25">
        <v>27</v>
      </c>
      <c r="D72" s="12">
        <f>Reference!B70</f>
        <v>846.10630000000003</v>
      </c>
      <c r="E72" s="13">
        <f>Reference!C70</f>
        <v>37.421199999999999</v>
      </c>
      <c r="F72" s="13">
        <f>Reference!D70</f>
        <v>38.988199999999999</v>
      </c>
      <c r="G72" s="13">
        <f>Reference!E70</f>
        <v>39.568899999999999</v>
      </c>
      <c r="H72" s="13">
        <f>Reference!F70</f>
        <v>2883.73</v>
      </c>
      <c r="I72" s="13">
        <f>Reference!G70</f>
        <v>1.6</v>
      </c>
      <c r="J72" s="14">
        <f t="shared" si="8"/>
        <v>0.80103611111111117</v>
      </c>
      <c r="L72" s="12">
        <f>Test!B70</f>
        <v>837.8587</v>
      </c>
      <c r="M72" s="13">
        <f>Test!C70</f>
        <v>37.4268</v>
      </c>
      <c r="N72" s="13">
        <f>Test!D70</f>
        <v>39.348199999999999</v>
      </c>
      <c r="O72" s="13">
        <f>Test!E70</f>
        <v>39.970799999999997</v>
      </c>
      <c r="P72" s="13">
        <f>Test!F70</f>
        <v>2960.03</v>
      </c>
      <c r="Q72" s="13">
        <f>Test!G70</f>
        <v>1.61</v>
      </c>
      <c r="R72" s="14">
        <f t="shared" si="9"/>
        <v>0.82223055555555558</v>
      </c>
      <c r="S72" s="13">
        <f t="shared" si="10"/>
        <v>1.0264587877505871</v>
      </c>
      <c r="T72" s="13">
        <f t="shared" si="11"/>
        <v>1.0062500000000001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Reference!B71</f>
        <v>484.6968</v>
      </c>
      <c r="E73" s="13">
        <f>Reference!C71</f>
        <v>33.4634</v>
      </c>
      <c r="F73" s="13">
        <f>Reference!D71</f>
        <v>36.744</v>
      </c>
      <c r="G73" s="13">
        <f>Reference!E71</f>
        <v>37.211300000000001</v>
      </c>
      <c r="H73" s="13">
        <f>Reference!F71</f>
        <v>2489.65</v>
      </c>
      <c r="I73" s="13">
        <f>Reference!G71</f>
        <v>1.26</v>
      </c>
      <c r="J73" s="14">
        <f t="shared" si="8"/>
        <v>0.69156944444444446</v>
      </c>
      <c r="L73" s="12">
        <f>Test!B71</f>
        <v>480.9008</v>
      </c>
      <c r="M73" s="13">
        <f>Test!C71</f>
        <v>33.4694</v>
      </c>
      <c r="N73" s="13">
        <f>Test!D71</f>
        <v>37.291600000000003</v>
      </c>
      <c r="O73" s="13">
        <f>Test!E71</f>
        <v>37.743299999999998</v>
      </c>
      <c r="P73" s="13">
        <f>Test!F71</f>
        <v>2546.31</v>
      </c>
      <c r="Q73" s="13">
        <f>Test!G71</f>
        <v>1.27</v>
      </c>
      <c r="R73" s="14">
        <f t="shared" si="9"/>
        <v>0.70730833333333332</v>
      </c>
      <c r="S73" s="13">
        <f t="shared" si="10"/>
        <v>1.0227582190267708</v>
      </c>
      <c r="T73" s="13">
        <f t="shared" si="11"/>
        <v>1.0079365079365079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Reference!B72</f>
        <v>249.0667</v>
      </c>
      <c r="E74" s="17">
        <f>Reference!C72</f>
        <v>29.854600000000001</v>
      </c>
      <c r="F74" s="17">
        <f>Reference!D72</f>
        <v>35.2149</v>
      </c>
      <c r="G74" s="17">
        <f>Reference!E72</f>
        <v>35.663600000000002</v>
      </c>
      <c r="H74" s="17">
        <f>Reference!F72</f>
        <v>1936.87</v>
      </c>
      <c r="I74" s="17">
        <f>Reference!G72</f>
        <v>0.93</v>
      </c>
      <c r="J74" s="18">
        <f t="shared" si="8"/>
        <v>0.53801944444444438</v>
      </c>
      <c r="L74" s="16">
        <f>Test!B72</f>
        <v>247.0206</v>
      </c>
      <c r="M74" s="17">
        <f>Test!C72</f>
        <v>29.855399999999999</v>
      </c>
      <c r="N74" s="17">
        <f>Test!D72</f>
        <v>35.764400000000002</v>
      </c>
      <c r="O74" s="17">
        <f>Test!E72</f>
        <v>36.219299999999997</v>
      </c>
      <c r="P74" s="17">
        <f>Test!F72</f>
        <v>1961.3</v>
      </c>
      <c r="Q74" s="17">
        <f>Test!G72</f>
        <v>0.94</v>
      </c>
      <c r="R74" s="18">
        <f t="shared" si="9"/>
        <v>0.54480555555555554</v>
      </c>
      <c r="S74" s="13">
        <f t="shared" si="10"/>
        <v>1.0126131335608481</v>
      </c>
      <c r="T74" s="13">
        <f t="shared" si="11"/>
        <v>1.010752688172043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Reference!B73</f>
        <v>525.38919999999996</v>
      </c>
      <c r="E75" s="10">
        <f>Reference!C73</f>
        <v>43.343499999999999</v>
      </c>
      <c r="F75" s="10">
        <f>Reference!D73</f>
        <v>43.033000000000001</v>
      </c>
      <c r="G75" s="10">
        <f>Reference!E73</f>
        <v>43.895699999999998</v>
      </c>
      <c r="H75" s="10">
        <f>Reference!F73</f>
        <v>1647.37</v>
      </c>
      <c r="I75" s="10">
        <f>Reference!G73</f>
        <v>0.87</v>
      </c>
      <c r="J75" s="11">
        <f t="shared" si="8"/>
        <v>0.45760277777777775</v>
      </c>
      <c r="L75" s="9">
        <f>Test!B73</f>
        <v>519.66</v>
      </c>
      <c r="M75" s="10">
        <f>Test!C73</f>
        <v>43.342500000000001</v>
      </c>
      <c r="N75" s="10">
        <f>Test!D73</f>
        <v>43.1798</v>
      </c>
      <c r="O75" s="10">
        <f>Test!E73</f>
        <v>44.084800000000001</v>
      </c>
      <c r="P75" s="10">
        <f>Test!F73</f>
        <v>1705.58</v>
      </c>
      <c r="Q75" s="10">
        <f>Test!G73</f>
        <v>0.89</v>
      </c>
      <c r="R75" s="11">
        <f t="shared" si="9"/>
        <v>0.47377222222222221</v>
      </c>
      <c r="S75" s="13">
        <f t="shared" si="10"/>
        <v>1.0353351099024506</v>
      </c>
      <c r="T75" s="13">
        <f t="shared" si="11"/>
        <v>1.0229885057471264</v>
      </c>
      <c r="U75" s="48"/>
      <c r="V75" s="30">
        <f>bdrate($D75:$D78,E75:E78,$L75:$L78,M75:M78)</f>
        <v>-1.1026089162678221E-2</v>
      </c>
      <c r="W75" s="35">
        <f>bdrate($D75:$D78,F75:F78,$L75:$L78,N75:N78)</f>
        <v>-9.7097869841931583E-2</v>
      </c>
      <c r="X75" s="35">
        <f>bdrate($D75:$D78,G75:G78,$L75:$L78,O75:O78)</f>
        <v>-0.10466003644492272</v>
      </c>
      <c r="Y75" s="33">
        <f>bdrateOld($D75:$D78,E75:E78,$L75:$L78,M75:M78)</f>
        <v>-1.102366661048193E-2</v>
      </c>
      <c r="Z75" s="37">
        <f>bdrateOld($D75:$D78,F75:F78,$L75:$L78,N75:N78)</f>
        <v>-9.5177311180386304E-2</v>
      </c>
      <c r="AA75" s="38">
        <f>bdrateOld($D75:$D78,G75:G78,$L75:$L78,O75:O78)</f>
        <v>-0.10353766660534169</v>
      </c>
    </row>
    <row r="76" spans="1:27" x14ac:dyDescent="0.2">
      <c r="A76" s="25"/>
      <c r="B76" s="25"/>
      <c r="C76" s="25">
        <v>27</v>
      </c>
      <c r="D76" s="12">
        <f>Reference!B74</f>
        <v>330.4074</v>
      </c>
      <c r="E76" s="13">
        <f>Reference!C74</f>
        <v>39.615200000000002</v>
      </c>
      <c r="F76" s="13">
        <f>Reference!D74</f>
        <v>39.612900000000003</v>
      </c>
      <c r="G76" s="13">
        <f>Reference!E74</f>
        <v>40.931800000000003</v>
      </c>
      <c r="H76" s="13">
        <f>Reference!F74</f>
        <v>1404.23</v>
      </c>
      <c r="I76" s="13">
        <f>Reference!G74</f>
        <v>0.73</v>
      </c>
      <c r="J76" s="14">
        <f t="shared" si="8"/>
        <v>0.39006388888888888</v>
      </c>
      <c r="L76" s="12">
        <f>Test!B74</f>
        <v>327.04259999999999</v>
      </c>
      <c r="M76" s="13">
        <f>Test!C74</f>
        <v>39.616799999999998</v>
      </c>
      <c r="N76" s="13">
        <f>Test!D74</f>
        <v>39.932000000000002</v>
      </c>
      <c r="O76" s="13">
        <f>Test!E74</f>
        <v>41.304600000000001</v>
      </c>
      <c r="P76" s="13">
        <f>Test!F74</f>
        <v>1418.96</v>
      </c>
      <c r="Q76" s="13">
        <f>Test!G74</f>
        <v>0.73</v>
      </c>
      <c r="R76" s="14">
        <f t="shared" si="9"/>
        <v>0.39415555555555559</v>
      </c>
      <c r="S76" s="13">
        <f t="shared" si="10"/>
        <v>1.0104897345876387</v>
      </c>
      <c r="T76" s="13">
        <f t="shared" si="11"/>
        <v>1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Reference!B75</f>
        <v>186.0087</v>
      </c>
      <c r="E77" s="13">
        <f>Reference!C75</f>
        <v>35.693199999999997</v>
      </c>
      <c r="F77" s="13">
        <f>Reference!D75</f>
        <v>37.438699999999997</v>
      </c>
      <c r="G77" s="13">
        <f>Reference!E75</f>
        <v>38.787100000000002</v>
      </c>
      <c r="H77" s="13">
        <f>Reference!F75</f>
        <v>1161.77</v>
      </c>
      <c r="I77" s="13">
        <f>Reference!G75</f>
        <v>0.59</v>
      </c>
      <c r="J77" s="14">
        <f t="shared" si="8"/>
        <v>0.32271388888888891</v>
      </c>
      <c r="L77" s="12">
        <f>Test!B75</f>
        <v>183.86529999999999</v>
      </c>
      <c r="M77" s="13">
        <f>Test!C75</f>
        <v>35.689799999999998</v>
      </c>
      <c r="N77" s="13">
        <f>Test!D75</f>
        <v>37.8902</v>
      </c>
      <c r="O77" s="13">
        <f>Test!E75</f>
        <v>39.220399999999998</v>
      </c>
      <c r="P77" s="13">
        <f>Test!F75</f>
        <v>1196.27</v>
      </c>
      <c r="Q77" s="13">
        <f>Test!G75</f>
        <v>0.6</v>
      </c>
      <c r="R77" s="14">
        <f t="shared" si="9"/>
        <v>0.33229722222222224</v>
      </c>
      <c r="S77" s="13">
        <f t="shared" si="10"/>
        <v>1.0296960672077951</v>
      </c>
      <c r="T77" s="13">
        <f t="shared" si="11"/>
        <v>1.0169491525423728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Reference!B76</f>
        <v>93.714500000000001</v>
      </c>
      <c r="E78" s="17">
        <f>Reference!C76</f>
        <v>32.143999999999998</v>
      </c>
      <c r="F78" s="17">
        <f>Reference!D76</f>
        <v>35.924399999999999</v>
      </c>
      <c r="G78" s="17">
        <f>Reference!E76</f>
        <v>37.122999999999998</v>
      </c>
      <c r="H78" s="17">
        <f>Reference!F76</f>
        <v>828.76</v>
      </c>
      <c r="I78" s="17">
        <f>Reference!G76</f>
        <v>0.46</v>
      </c>
      <c r="J78" s="18">
        <f t="shared" si="8"/>
        <v>0.23021111111111112</v>
      </c>
      <c r="L78" s="16">
        <f>Test!B76</f>
        <v>92.392099999999999</v>
      </c>
      <c r="M78" s="17">
        <f>Test!C76</f>
        <v>32.141500000000001</v>
      </c>
      <c r="N78" s="17">
        <f>Test!D76</f>
        <v>36.434199999999997</v>
      </c>
      <c r="O78" s="17">
        <f>Test!E76</f>
        <v>37.554200000000002</v>
      </c>
      <c r="P78" s="17">
        <f>Test!F76</f>
        <v>845.03</v>
      </c>
      <c r="Q78" s="17">
        <f>Test!G76</f>
        <v>0.46</v>
      </c>
      <c r="R78" s="18">
        <f t="shared" si="9"/>
        <v>0.23473055555555555</v>
      </c>
      <c r="S78" s="17">
        <f t="shared" si="10"/>
        <v>1.0196317389835416</v>
      </c>
      <c r="T78" s="17">
        <f t="shared" si="11"/>
        <v>1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128" t="s">
        <v>74</v>
      </c>
      <c r="B79" s="128" t="s">
        <v>52</v>
      </c>
      <c r="C79" s="24">
        <v>42</v>
      </c>
      <c r="D79" s="9">
        <f>Reference!B77</f>
        <v>453.3</v>
      </c>
      <c r="E79" s="10">
        <f>Reference!C77</f>
        <v>33.150100000000002</v>
      </c>
      <c r="F79" s="10">
        <f>Reference!D77</f>
        <v>40.251800000000003</v>
      </c>
      <c r="G79" s="10">
        <f>Reference!E77</f>
        <v>41.569400000000002</v>
      </c>
      <c r="H79" s="10">
        <f>Reference!F77</f>
        <v>18618.599999999999</v>
      </c>
      <c r="I79" s="10">
        <f>Reference!G77</f>
        <v>8.34</v>
      </c>
      <c r="J79" s="11">
        <f t="shared" si="8"/>
        <v>5.1718333333333328</v>
      </c>
      <c r="L79" s="9">
        <f>Test!B77</f>
        <v>458.4</v>
      </c>
      <c r="M79" s="10">
        <f>Test!C77</f>
        <v>33.195999999999998</v>
      </c>
      <c r="N79" s="10">
        <f>Test!D77</f>
        <v>40.3249</v>
      </c>
      <c r="O79" s="10">
        <f>Test!E77</f>
        <v>41.4512</v>
      </c>
      <c r="P79" s="10">
        <f>Test!F77</f>
        <v>19434.78</v>
      </c>
      <c r="Q79" s="10">
        <f>Test!G77</f>
        <v>8.42</v>
      </c>
      <c r="R79" s="11">
        <f t="shared" si="9"/>
        <v>5.3985499999999993</v>
      </c>
      <c r="S79" s="10">
        <f t="shared" si="10"/>
        <v>1.0438368083529375</v>
      </c>
      <c r="T79" s="10">
        <f t="shared" si="11"/>
        <v>1.0095923261390887</v>
      </c>
      <c r="U79" s="47"/>
      <c r="V79" s="30">
        <f>bdrate($D79:$D82,E79:E82,$L79:$L82,M79:M82)</f>
        <v>3.1762760058249295E-3</v>
      </c>
      <c r="W79" s="35">
        <f>bdrate($D79:$D82,F79:F82,$L79:$L82,N79:N82)</f>
        <v>-6.6671468326659267E-2</v>
      </c>
      <c r="X79" s="36">
        <f>bdrate($D79:$D82,G79:G82,$L79:$L82,O79:O82)</f>
        <v>-4.8256622085410927E-2</v>
      </c>
      <c r="Y79" s="30">
        <f>bdrateOld($D79:$D82,E79:E82,$L79:$L82,M79:M82)</f>
        <v>2.7357266511924827E-3</v>
      </c>
      <c r="Z79" s="35">
        <f>bdrateOld($D79:$D82,F79:F82,$L79:$L82,N79:N82)</f>
        <v>-6.9030018146032934E-2</v>
      </c>
      <c r="AA79" s="36">
        <f>bdrateOld($D79:$D82,G79:G82,$L79:$L82,O79:O82)</f>
        <v>-4.6903637480512406E-2</v>
      </c>
    </row>
    <row r="80" spans="1:27" x14ac:dyDescent="0.2">
      <c r="A80" s="129" t="s">
        <v>75</v>
      </c>
      <c r="B80" s="129"/>
      <c r="C80" s="25">
        <v>47</v>
      </c>
      <c r="D80" s="12">
        <f>Reference!B78</f>
        <v>240.18</v>
      </c>
      <c r="E80" s="13">
        <f>Reference!C78</f>
        <v>29.910699999999999</v>
      </c>
      <c r="F80" s="13">
        <f>Reference!D78</f>
        <v>37.859900000000003</v>
      </c>
      <c r="G80" s="13">
        <f>Reference!E78</f>
        <v>38.863900000000001</v>
      </c>
      <c r="H80" s="13">
        <f>Reference!F78</f>
        <v>12682.39</v>
      </c>
      <c r="I80" s="13">
        <f>Reference!G78</f>
        <v>7</v>
      </c>
      <c r="J80" s="14">
        <f t="shared" si="8"/>
        <v>3.5228861111111112</v>
      </c>
      <c r="L80" s="12">
        <f>Test!B78</f>
        <v>238.92</v>
      </c>
      <c r="M80" s="13">
        <f>Test!C78</f>
        <v>29.897400000000001</v>
      </c>
      <c r="N80" s="13">
        <f>Test!D78</f>
        <v>38.132599999999996</v>
      </c>
      <c r="O80" s="13">
        <f>Test!E78</f>
        <v>39.2029</v>
      </c>
      <c r="P80" s="13">
        <f>Test!F78</f>
        <v>13294.14</v>
      </c>
      <c r="Q80" s="13">
        <f>Test!G78</f>
        <v>7</v>
      </c>
      <c r="R80" s="14">
        <f t="shared" si="9"/>
        <v>3.6928166666666664</v>
      </c>
      <c r="S80" s="13">
        <f t="shared" si="10"/>
        <v>1.0482361763043087</v>
      </c>
      <c r="T80" s="13">
        <f t="shared" si="11"/>
        <v>1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129"/>
      <c r="B81" s="129"/>
      <c r="C81" s="25">
        <v>52</v>
      </c>
      <c r="D81" s="12">
        <f>Reference!B79</f>
        <v>118.26</v>
      </c>
      <c r="E81" s="13">
        <f>Reference!C79</f>
        <v>26.932600000000001</v>
      </c>
      <c r="F81" s="13">
        <f>Reference!D79</f>
        <v>35.628399999999999</v>
      </c>
      <c r="G81" s="13">
        <f>Reference!E79</f>
        <v>36.190100000000001</v>
      </c>
      <c r="H81" s="13">
        <f>Reference!F79</f>
        <v>9616.5300000000007</v>
      </c>
      <c r="I81" s="13">
        <f>Reference!G79</f>
        <v>6.17</v>
      </c>
      <c r="J81" s="14">
        <f t="shared" si="8"/>
        <v>2.6712583333333337</v>
      </c>
      <c r="L81" s="12">
        <f>Test!B79</f>
        <v>116.76</v>
      </c>
      <c r="M81" s="13">
        <f>Test!C79</f>
        <v>26.855899999999998</v>
      </c>
      <c r="N81" s="13">
        <f>Test!D79</f>
        <v>35.633499999999998</v>
      </c>
      <c r="O81" s="13">
        <f>Test!E79</f>
        <v>36.266300000000001</v>
      </c>
      <c r="P81" s="13">
        <f>Test!F79</f>
        <v>9698.7800000000007</v>
      </c>
      <c r="Q81" s="13">
        <f>Test!G79</f>
        <v>5.94</v>
      </c>
      <c r="R81" s="14">
        <f t="shared" si="9"/>
        <v>2.6941055555555558</v>
      </c>
      <c r="S81" s="13">
        <f t="shared" si="10"/>
        <v>1.0085529811688831</v>
      </c>
      <c r="T81" s="13">
        <f t="shared" si="11"/>
        <v>0.96272285251215561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129"/>
      <c r="B82" s="130"/>
      <c r="C82" s="26">
        <v>57</v>
      </c>
      <c r="D82" s="16">
        <f>Reference!B80</f>
        <v>51.3</v>
      </c>
      <c r="E82" s="17">
        <f>Reference!C80</f>
        <v>24.324300000000001</v>
      </c>
      <c r="F82" s="17">
        <f>Reference!D80</f>
        <v>33.111400000000003</v>
      </c>
      <c r="G82" s="17">
        <f>Reference!E80</f>
        <v>33.472700000000003</v>
      </c>
      <c r="H82" s="17">
        <f>Reference!F80</f>
        <v>6409.09</v>
      </c>
      <c r="I82" s="17">
        <f>Reference!G80</f>
        <v>5.04</v>
      </c>
      <c r="J82" s="18">
        <f t="shared" si="8"/>
        <v>1.7803027777777778</v>
      </c>
      <c r="L82" s="16">
        <f>Test!B80</f>
        <v>51.6</v>
      </c>
      <c r="M82" s="17">
        <f>Test!C80</f>
        <v>24.317699999999999</v>
      </c>
      <c r="N82" s="17">
        <f>Test!D80</f>
        <v>33.995199999999997</v>
      </c>
      <c r="O82" s="17">
        <f>Test!E80</f>
        <v>33.6462</v>
      </c>
      <c r="P82" s="17">
        <f>Test!F80</f>
        <v>6337.44</v>
      </c>
      <c r="Q82" s="17">
        <f>Test!G80</f>
        <v>4.99</v>
      </c>
      <c r="R82" s="18">
        <f t="shared" si="9"/>
        <v>1.7604</v>
      </c>
      <c r="S82" s="13">
        <f t="shared" si="10"/>
        <v>0.9888205657901511</v>
      </c>
      <c r="T82" s="13">
        <f t="shared" si="11"/>
        <v>0.99007936507936511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129"/>
      <c r="B83" s="128" t="s">
        <v>53</v>
      </c>
      <c r="C83" s="24">
        <v>42</v>
      </c>
      <c r="D83" s="9">
        <f>Reference!B81</f>
        <v>232.44</v>
      </c>
      <c r="E83" s="10">
        <f>Reference!C81</f>
        <v>35.545400000000001</v>
      </c>
      <c r="F83" s="10">
        <f>Reference!D81</f>
        <v>41.700499999999998</v>
      </c>
      <c r="G83" s="10">
        <f>Reference!E81</f>
        <v>42.7209</v>
      </c>
      <c r="H83" s="10">
        <f>Reference!F81</f>
        <v>14597.78</v>
      </c>
      <c r="I83" s="10">
        <f>Reference!G81</f>
        <v>6.59</v>
      </c>
      <c r="J83" s="11">
        <f t="shared" si="8"/>
        <v>4.0549388888888886</v>
      </c>
      <c r="L83" s="9">
        <f>Test!B81</f>
        <v>236.22</v>
      </c>
      <c r="M83" s="10">
        <f>Test!C81</f>
        <v>35.611899999999999</v>
      </c>
      <c r="N83" s="10">
        <f>Test!D81</f>
        <v>41.880499999999998</v>
      </c>
      <c r="O83" s="10">
        <f>Test!E81</f>
        <v>42.5777</v>
      </c>
      <c r="P83" s="10">
        <f>Test!F81</f>
        <v>15098.19</v>
      </c>
      <c r="Q83" s="10">
        <f>Test!G81</f>
        <v>6.58</v>
      </c>
      <c r="R83" s="11">
        <f t="shared" si="9"/>
        <v>4.1939416666666665</v>
      </c>
      <c r="S83" s="13">
        <f t="shared" si="10"/>
        <v>1.0342798699528284</v>
      </c>
      <c r="T83" s="13">
        <f t="shared" si="11"/>
        <v>0.99848254931714719</v>
      </c>
      <c r="U83" s="48"/>
      <c r="V83" s="30">
        <f>bdrate($D83:$D86,E83:E86,$L83:$L86,M83:M86)</f>
        <v>8.6381491248197495E-3</v>
      </c>
      <c r="W83" s="35">
        <f>bdrate($D83:$D86,F83:F86,$L83:$L86,N83:N86)</f>
        <v>4.3059328108585593E-3</v>
      </c>
      <c r="X83" s="35">
        <f>bdrate($D83:$D86,G83:G86,$L83:$L86,O83:O86)</f>
        <v>-8.508004559497806E-2</v>
      </c>
      <c r="Y83" s="33">
        <f>bdrateOld($D83:$D86,E83:E86,$L83:$L86,M83:M86)</f>
        <v>8.41582526273843E-3</v>
      </c>
      <c r="Z83" s="37">
        <f>bdrateOld($D83:$D86,F83:F86,$L83:$L86,N83:N86)</f>
        <v>9.9355189629024565E-3</v>
      </c>
      <c r="AA83" s="38">
        <f>bdrateOld($D83:$D86,G83:G86,$L83:$L86,O83:O86)</f>
        <v>-8.2229679761165575E-2</v>
      </c>
    </row>
    <row r="84" spans="1:27" x14ac:dyDescent="0.2">
      <c r="A84" s="129"/>
      <c r="B84" s="129"/>
      <c r="C84" s="25">
        <v>47</v>
      </c>
      <c r="D84" s="12">
        <f>Reference!B82</f>
        <v>133.08000000000001</v>
      </c>
      <c r="E84" s="13">
        <f>Reference!C82</f>
        <v>32.938299999999998</v>
      </c>
      <c r="F84" s="13">
        <f>Reference!D82</f>
        <v>39.112099999999998</v>
      </c>
      <c r="G84" s="13">
        <f>Reference!E82</f>
        <v>40.002000000000002</v>
      </c>
      <c r="H84" s="13">
        <f>Reference!F82</f>
        <v>10007.51</v>
      </c>
      <c r="I84" s="13">
        <f>Reference!G82</f>
        <v>5.95</v>
      </c>
      <c r="J84" s="14">
        <f t="shared" si="8"/>
        <v>2.7798638888888889</v>
      </c>
      <c r="L84" s="12">
        <f>Test!B82</f>
        <v>134.63999999999999</v>
      </c>
      <c r="M84" s="13">
        <f>Test!C82</f>
        <v>32.886200000000002</v>
      </c>
      <c r="N84" s="13">
        <f>Test!D82</f>
        <v>39.433199999999999</v>
      </c>
      <c r="O84" s="13">
        <f>Test!E82</f>
        <v>40.614600000000003</v>
      </c>
      <c r="P84" s="13">
        <f>Test!F82</f>
        <v>10086.14</v>
      </c>
      <c r="Q84" s="13">
        <f>Test!G82</f>
        <v>5.93</v>
      </c>
      <c r="R84" s="14">
        <f t="shared" si="9"/>
        <v>2.8017055555555554</v>
      </c>
      <c r="S84" s="13">
        <f t="shared" si="10"/>
        <v>1.0078570993184117</v>
      </c>
      <c r="T84" s="13">
        <f t="shared" si="11"/>
        <v>0.99663865546218477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129"/>
      <c r="B85" s="129"/>
      <c r="C85" s="25">
        <v>52</v>
      </c>
      <c r="D85" s="12">
        <f>Reference!B83</f>
        <v>78</v>
      </c>
      <c r="E85" s="13">
        <f>Reference!C83</f>
        <v>30.131499999999999</v>
      </c>
      <c r="F85" s="13">
        <f>Reference!D83</f>
        <v>36.680999999999997</v>
      </c>
      <c r="G85" s="13">
        <f>Reference!E83</f>
        <v>36.988700000000001</v>
      </c>
      <c r="H85" s="13">
        <f>Reference!F83</f>
        <v>6725.25</v>
      </c>
      <c r="I85" s="13">
        <f>Reference!G83</f>
        <v>4.93</v>
      </c>
      <c r="J85" s="14">
        <f t="shared" si="8"/>
        <v>1.868125</v>
      </c>
      <c r="L85" s="12">
        <f>Test!B83</f>
        <v>78.540000000000006</v>
      </c>
      <c r="M85" s="13">
        <f>Test!C83</f>
        <v>30.168600000000001</v>
      </c>
      <c r="N85" s="13">
        <f>Test!D83</f>
        <v>36.410800000000002</v>
      </c>
      <c r="O85" s="13">
        <f>Test!E83</f>
        <v>37.6021</v>
      </c>
      <c r="P85" s="13">
        <f>Test!F83</f>
        <v>6951.62</v>
      </c>
      <c r="Q85" s="13">
        <f>Test!G83</f>
        <v>5.14</v>
      </c>
      <c r="R85" s="14">
        <f t="shared" si="9"/>
        <v>1.9310055555555554</v>
      </c>
      <c r="S85" s="13">
        <f t="shared" si="10"/>
        <v>1.0336597152522211</v>
      </c>
      <c r="T85" s="13">
        <f t="shared" si="11"/>
        <v>1.0425963488843812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129"/>
      <c r="B86" s="130"/>
      <c r="C86" s="26">
        <v>57</v>
      </c>
      <c r="D86" s="16">
        <f>Reference!B84</f>
        <v>45.42</v>
      </c>
      <c r="E86" s="17">
        <f>Reference!C84</f>
        <v>27.296900000000001</v>
      </c>
      <c r="F86" s="17">
        <f>Reference!D84</f>
        <v>33.0869</v>
      </c>
      <c r="G86" s="17">
        <f>Reference!E84</f>
        <v>34.578400000000002</v>
      </c>
      <c r="H86" s="17">
        <f>Reference!F84</f>
        <v>3971.1</v>
      </c>
      <c r="I86" s="17">
        <f>Reference!G84</f>
        <v>4.2300000000000004</v>
      </c>
      <c r="J86" s="18">
        <f t="shared" si="8"/>
        <v>1.1030833333333334</v>
      </c>
      <c r="L86" s="16">
        <f>Test!B84</f>
        <v>45.6</v>
      </c>
      <c r="M86" s="17">
        <f>Test!C84</f>
        <v>27.302299999999999</v>
      </c>
      <c r="N86" s="17">
        <f>Test!D84</f>
        <v>33.056600000000003</v>
      </c>
      <c r="O86" s="17">
        <f>Test!E84</f>
        <v>34.873600000000003</v>
      </c>
      <c r="P86" s="17">
        <f>Test!F84</f>
        <v>4101.5</v>
      </c>
      <c r="Q86" s="17">
        <f>Test!G84</f>
        <v>4.5999999999999996</v>
      </c>
      <c r="R86" s="18">
        <f t="shared" si="9"/>
        <v>1.1393055555555556</v>
      </c>
      <c r="S86" s="13">
        <f t="shared" si="10"/>
        <v>1.0328372491249276</v>
      </c>
      <c r="T86" s="13">
        <f t="shared" si="11"/>
        <v>1.0874704491725766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129"/>
      <c r="B87" s="128" t="s">
        <v>54</v>
      </c>
      <c r="C87" s="24">
        <v>42</v>
      </c>
      <c r="D87" s="9">
        <f>Reference!B85</f>
        <v>325.8</v>
      </c>
      <c r="E87" s="10">
        <f>Reference!C85</f>
        <v>34.951999999999998</v>
      </c>
      <c r="F87" s="10">
        <f>Reference!D85</f>
        <v>41.219299999999997</v>
      </c>
      <c r="G87" s="10">
        <f>Reference!E85</f>
        <v>42.112900000000003</v>
      </c>
      <c r="H87" s="10">
        <f>Reference!F85</f>
        <v>15070.07</v>
      </c>
      <c r="I87" s="10">
        <f>Reference!G85</f>
        <v>6.88</v>
      </c>
      <c r="J87" s="11">
        <f t="shared" si="8"/>
        <v>4.1861305555555557</v>
      </c>
      <c r="L87" s="9">
        <f>Test!B85</f>
        <v>329.46</v>
      </c>
      <c r="M87" s="10">
        <f>Test!C85</f>
        <v>34.9619</v>
      </c>
      <c r="N87" s="10">
        <f>Test!D85</f>
        <v>41.102699999999999</v>
      </c>
      <c r="O87" s="10">
        <f>Test!E85</f>
        <v>42.152000000000001</v>
      </c>
      <c r="P87" s="10">
        <f>Test!F85</f>
        <v>14639.74</v>
      </c>
      <c r="Q87" s="10">
        <f>Test!G85</f>
        <v>7.12</v>
      </c>
      <c r="R87" s="11">
        <f t="shared" si="9"/>
        <v>4.0665944444444442</v>
      </c>
      <c r="S87" s="13">
        <f t="shared" si="10"/>
        <v>0.97144472454341624</v>
      </c>
      <c r="T87" s="13">
        <f t="shared" si="11"/>
        <v>1.0348837209302326</v>
      </c>
      <c r="U87" s="48"/>
      <c r="V87" s="30">
        <f>bdrate($D87:$D90,E87:E90,$L87:$L90,M87:M90)</f>
        <v>3.8405437385629071E-3</v>
      </c>
      <c r="W87" s="35">
        <f>bdrate($D87:$D90,F87:F90,$L87:$L90,N87:N90)</f>
        <v>-1.0979058896091076E-2</v>
      </c>
      <c r="X87" s="35">
        <f>bdrate($D87:$D90,G87:G90,$L87:$L90,O87:O90)</f>
        <v>-4.2127409026986307E-3</v>
      </c>
      <c r="Y87" s="33">
        <f>bdrateOld($D87:$D90,E87:E90,$L87:$L90,M87:M90)</f>
        <v>4.1260186545362121E-3</v>
      </c>
      <c r="Z87" s="37">
        <f>bdrateOld($D87:$D90,F87:F90,$L87:$L90,N87:N90)</f>
        <v>-1.1166398320042514E-2</v>
      </c>
      <c r="AA87" s="38">
        <f>bdrateOld($D87:$D90,G87:G90,$L87:$L90,O87:O90)</f>
        <v>-4.7787838914949976E-3</v>
      </c>
    </row>
    <row r="88" spans="1:27" x14ac:dyDescent="0.2">
      <c r="A88" s="129"/>
      <c r="B88" s="129"/>
      <c r="C88" s="25">
        <v>47</v>
      </c>
      <c r="D88" s="12">
        <f>Reference!B86</f>
        <v>183.78</v>
      </c>
      <c r="E88" s="13">
        <f>Reference!C86</f>
        <v>31.761199999999999</v>
      </c>
      <c r="F88" s="13">
        <f>Reference!D86</f>
        <v>38.8262</v>
      </c>
      <c r="G88" s="13">
        <f>Reference!E86</f>
        <v>39.664400000000001</v>
      </c>
      <c r="H88" s="13">
        <f>Reference!F86</f>
        <v>10019</v>
      </c>
      <c r="I88" s="13">
        <f>Reference!G86</f>
        <v>6.24</v>
      </c>
      <c r="J88" s="14">
        <f t="shared" si="8"/>
        <v>2.7830555555555554</v>
      </c>
      <c r="L88" s="12">
        <f>Test!B86</f>
        <v>185.04</v>
      </c>
      <c r="M88" s="13">
        <f>Test!C86</f>
        <v>31.754999999999999</v>
      </c>
      <c r="N88" s="13">
        <f>Test!D86</f>
        <v>38.780099999999997</v>
      </c>
      <c r="O88" s="13">
        <f>Test!E86</f>
        <v>39.722000000000001</v>
      </c>
      <c r="P88" s="13">
        <f>Test!F86</f>
        <v>10175.14</v>
      </c>
      <c r="Q88" s="13">
        <f>Test!G86</f>
        <v>6.25</v>
      </c>
      <c r="R88" s="14">
        <f t="shared" si="9"/>
        <v>2.8264277777777775</v>
      </c>
      <c r="S88" s="13">
        <f t="shared" si="10"/>
        <v>1.0155843896596466</v>
      </c>
      <c r="T88" s="13">
        <f t="shared" si="11"/>
        <v>1.0016025641025641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129"/>
      <c r="B89" s="129"/>
      <c r="C89" s="25">
        <v>52</v>
      </c>
      <c r="D89" s="12">
        <f>Reference!B87</f>
        <v>100.2</v>
      </c>
      <c r="E89" s="13">
        <f>Reference!C87</f>
        <v>28.7089</v>
      </c>
      <c r="F89" s="13">
        <f>Reference!D87</f>
        <v>35.718699999999998</v>
      </c>
      <c r="G89" s="13">
        <f>Reference!E87</f>
        <v>36.999899999999997</v>
      </c>
      <c r="H89" s="13">
        <f>Reference!F87</f>
        <v>7048.88</v>
      </c>
      <c r="I89" s="13">
        <f>Reference!G87</f>
        <v>5.33</v>
      </c>
      <c r="J89" s="14">
        <f t="shared" si="8"/>
        <v>1.9580222222222223</v>
      </c>
      <c r="L89" s="12">
        <f>Test!B87</f>
        <v>101.34</v>
      </c>
      <c r="M89" s="13">
        <f>Test!C87</f>
        <v>28.795400000000001</v>
      </c>
      <c r="N89" s="13">
        <f>Test!D87</f>
        <v>35.905799999999999</v>
      </c>
      <c r="O89" s="13">
        <f>Test!E87</f>
        <v>36.860999999999997</v>
      </c>
      <c r="P89" s="13">
        <f>Test!F87</f>
        <v>7082.33</v>
      </c>
      <c r="Q89" s="13">
        <f>Test!G87</f>
        <v>5.17</v>
      </c>
      <c r="R89" s="14">
        <f t="shared" si="9"/>
        <v>1.9673138888888888</v>
      </c>
      <c r="S89" s="13">
        <f t="shared" si="10"/>
        <v>1.004745434735731</v>
      </c>
      <c r="T89" s="13">
        <f t="shared" si="11"/>
        <v>0.96998123827392113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130"/>
      <c r="B90" s="130"/>
      <c r="C90" s="26">
        <v>57</v>
      </c>
      <c r="D90" s="16">
        <f>Reference!B88</f>
        <v>54.72</v>
      </c>
      <c r="E90" s="17">
        <f>Reference!C88</f>
        <v>25.973500000000001</v>
      </c>
      <c r="F90" s="17">
        <f>Reference!D88</f>
        <v>32.687100000000001</v>
      </c>
      <c r="G90" s="17">
        <f>Reference!E88</f>
        <v>33.7849</v>
      </c>
      <c r="H90" s="17">
        <f>Reference!F88</f>
        <v>4596.83</v>
      </c>
      <c r="I90" s="17">
        <f>Reference!G88</f>
        <v>5.09</v>
      </c>
      <c r="J90" s="18">
        <f t="shared" si="8"/>
        <v>1.2768972222222221</v>
      </c>
      <c r="L90" s="16">
        <f>Test!B88</f>
        <v>55.32</v>
      </c>
      <c r="M90" s="17">
        <f>Test!C88</f>
        <v>25.952200000000001</v>
      </c>
      <c r="N90" s="17">
        <f>Test!D88</f>
        <v>33.178699999999999</v>
      </c>
      <c r="O90" s="17">
        <f>Test!E88</f>
        <v>34.874200000000002</v>
      </c>
      <c r="P90" s="17">
        <f>Test!F88</f>
        <v>4615.97</v>
      </c>
      <c r="Q90" s="17">
        <f>Test!G88</f>
        <v>4.84</v>
      </c>
      <c r="R90" s="18">
        <f t="shared" si="9"/>
        <v>1.282213888888889</v>
      </c>
      <c r="S90" s="13">
        <f t="shared" si="10"/>
        <v>1.0041637389244327</v>
      </c>
      <c r="T90" s="13">
        <f t="shared" si="11"/>
        <v>0.9508840864440079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Reference!B89</f>
        <v>2476.0515999999998</v>
      </c>
      <c r="E91" s="10">
        <f>Reference!C89</f>
        <v>42.741300000000003</v>
      </c>
      <c r="F91" s="10">
        <f>Reference!D89</f>
        <v>43.7652</v>
      </c>
      <c r="G91" s="10">
        <f>Reference!E89</f>
        <v>44.392699999999998</v>
      </c>
      <c r="H91" s="10">
        <f>Reference!F89</f>
        <v>14970.46</v>
      </c>
      <c r="I91" s="10">
        <f>Reference!G89</f>
        <v>5.66</v>
      </c>
      <c r="J91" s="11">
        <f t="shared" si="8"/>
        <v>4.1584611111111105</v>
      </c>
      <c r="L91" s="9">
        <f>Test!B89</f>
        <v>2404.2602999999999</v>
      </c>
      <c r="M91" s="10">
        <f>Test!C89</f>
        <v>42.741300000000003</v>
      </c>
      <c r="N91" s="10">
        <f>Test!D89</f>
        <v>43.996699999999997</v>
      </c>
      <c r="O91" s="10">
        <f>Test!E89</f>
        <v>44.735599999999998</v>
      </c>
      <c r="P91" s="10">
        <f>Test!F89</f>
        <v>14681.08</v>
      </c>
      <c r="Q91" s="10">
        <f>Test!G89</f>
        <v>5.42</v>
      </c>
      <c r="R91" s="11">
        <f t="shared" si="9"/>
        <v>4.0780777777777777</v>
      </c>
      <c r="S91" s="10">
        <f t="shared" si="10"/>
        <v>0.98066993265404012</v>
      </c>
      <c r="T91" s="10">
        <f t="shared" si="11"/>
        <v>0.95759717314487625</v>
      </c>
      <c r="U91" s="47"/>
      <c r="V91" s="30">
        <f>bdrate($D91:$D94,E91:E94,$L91:$L94,M91:M94)</f>
        <v>-4.1309129141443912E-2</v>
      </c>
      <c r="W91" s="35">
        <f>bdrate($D91:$D94,F91:F94,$L91:$L94,N91:N94)</f>
        <v>-0.17769661282155369</v>
      </c>
      <c r="X91" s="36">
        <f>bdrate($D91:$D94,G91:G94,$L91:$L94,O91:O94)</f>
        <v>-0.19540768871313619</v>
      </c>
      <c r="Y91" s="30">
        <f>bdrateOld($D91:$D94,E91:E94,$L91:$L94,M91:M94)</f>
        <v>-4.134554483354691E-2</v>
      </c>
      <c r="Z91" s="35">
        <f>bdrateOld($D91:$D94,F91:F94,$L91:$L94,N91:N94)</f>
        <v>-0.17733242311990838</v>
      </c>
      <c r="AA91" s="36">
        <f>bdrateOld($D91:$D94,G91:G94,$L91:$L94,O91:O94)</f>
        <v>-0.19394875123518796</v>
      </c>
    </row>
    <row r="92" spans="1:27" x14ac:dyDescent="0.2">
      <c r="A92" s="25"/>
      <c r="B92" s="25"/>
      <c r="C92" s="25">
        <v>27</v>
      </c>
      <c r="D92" s="12">
        <f>Reference!B90</f>
        <v>1423.2340999999999</v>
      </c>
      <c r="E92" s="13">
        <f>Reference!C90</f>
        <v>39.389499999999998</v>
      </c>
      <c r="F92" s="13">
        <f>Reference!D90</f>
        <v>40.706899999999997</v>
      </c>
      <c r="G92" s="13">
        <f>Reference!E90</f>
        <v>41.096600000000002</v>
      </c>
      <c r="H92" s="13">
        <f>Reference!F90</f>
        <v>12594.65</v>
      </c>
      <c r="I92" s="13">
        <f>Reference!G90</f>
        <v>4.0599999999999996</v>
      </c>
      <c r="J92" s="14">
        <f t="shared" si="8"/>
        <v>3.4985138888888887</v>
      </c>
      <c r="L92" s="12">
        <f>Test!B90</f>
        <v>1367.1238000000001</v>
      </c>
      <c r="M92" s="13">
        <f>Test!C90</f>
        <v>39.389299999999999</v>
      </c>
      <c r="N92" s="13">
        <f>Test!D90</f>
        <v>41.233400000000003</v>
      </c>
      <c r="O92" s="13">
        <f>Test!E90</f>
        <v>41.778399999999998</v>
      </c>
      <c r="P92" s="13">
        <f>Test!F90</f>
        <v>12273.43</v>
      </c>
      <c r="Q92" s="13">
        <f>Test!G90</f>
        <v>3.93</v>
      </c>
      <c r="R92" s="14">
        <f t="shared" si="9"/>
        <v>3.4092861111111112</v>
      </c>
      <c r="S92" s="13">
        <f t="shared" si="10"/>
        <v>0.97449551992314198</v>
      </c>
      <c r="T92" s="13">
        <f t="shared" si="11"/>
        <v>0.96798029556650256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Reference!B91</f>
        <v>816.44050000000004</v>
      </c>
      <c r="E93" s="13">
        <f>Reference!C91</f>
        <v>36.3093</v>
      </c>
      <c r="F93" s="13">
        <f>Reference!D91</f>
        <v>38.311199999999999</v>
      </c>
      <c r="G93" s="13">
        <f>Reference!E91</f>
        <v>38.595100000000002</v>
      </c>
      <c r="H93" s="13">
        <f>Reference!F91</f>
        <v>9381.67</v>
      </c>
      <c r="I93" s="13">
        <f>Reference!G91</f>
        <v>3.78</v>
      </c>
      <c r="J93" s="14">
        <f t="shared" si="8"/>
        <v>2.6060194444444447</v>
      </c>
      <c r="L93" s="12">
        <f>Test!B91</f>
        <v>779.45709999999997</v>
      </c>
      <c r="M93" s="13">
        <f>Test!C91</f>
        <v>36.307400000000001</v>
      </c>
      <c r="N93" s="13">
        <f>Test!D91</f>
        <v>39.216299999999997</v>
      </c>
      <c r="O93" s="13">
        <f>Test!E91</f>
        <v>39.630899999999997</v>
      </c>
      <c r="P93" s="13">
        <f>Test!F91</f>
        <v>9505.93</v>
      </c>
      <c r="Q93" s="13">
        <f>Test!G91</f>
        <v>3.07</v>
      </c>
      <c r="R93" s="14">
        <f t="shared" si="9"/>
        <v>2.640536111111111</v>
      </c>
      <c r="S93" s="13">
        <f t="shared" si="10"/>
        <v>1.0132449766406195</v>
      </c>
      <c r="T93" s="13">
        <f t="shared" si="11"/>
        <v>0.81216931216931221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Reference!B92</f>
        <v>479.70400000000001</v>
      </c>
      <c r="E94" s="17">
        <f>Reference!C92</f>
        <v>33.451700000000002</v>
      </c>
      <c r="F94" s="17">
        <f>Reference!D92</f>
        <v>36.482500000000002</v>
      </c>
      <c r="G94" s="17">
        <f>Reference!E92</f>
        <v>36.683599999999998</v>
      </c>
      <c r="H94" s="17">
        <f>Reference!F92</f>
        <v>5691.02</v>
      </c>
      <c r="I94" s="17">
        <f>Reference!G92</f>
        <v>2.44</v>
      </c>
      <c r="J94" s="18">
        <f t="shared" si="8"/>
        <v>1.5808388888888889</v>
      </c>
      <c r="L94" s="16">
        <f>Test!B92</f>
        <v>455.07940000000002</v>
      </c>
      <c r="M94" s="17">
        <f>Test!C92</f>
        <v>33.452599999999997</v>
      </c>
      <c r="N94" s="17">
        <f>Test!D92</f>
        <v>37.692300000000003</v>
      </c>
      <c r="O94" s="17">
        <f>Test!E92</f>
        <v>37.883899999999997</v>
      </c>
      <c r="P94" s="17">
        <f>Test!F92</f>
        <v>5644.79</v>
      </c>
      <c r="Q94" s="17">
        <f>Test!G92</f>
        <v>2.34</v>
      </c>
      <c r="R94" s="18">
        <f t="shared" si="9"/>
        <v>1.5679972222222223</v>
      </c>
      <c r="S94" s="13">
        <f t="shared" si="10"/>
        <v>0.99187667588586925</v>
      </c>
      <c r="T94" s="13">
        <f t="shared" si="11"/>
        <v>0.95901639344262291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Reference!B93</f>
        <v>11938.480799999999</v>
      </c>
      <c r="E95" s="10">
        <f>Reference!C93</f>
        <v>44.4587</v>
      </c>
      <c r="F95" s="10">
        <f>Reference!D93</f>
        <v>44.795900000000003</v>
      </c>
      <c r="G95" s="10">
        <f>Reference!E93</f>
        <v>45.447600000000001</v>
      </c>
      <c r="H95" s="10">
        <f>Reference!F93</f>
        <v>83296.02</v>
      </c>
      <c r="I95" s="10">
        <f>Reference!G93</f>
        <v>35.950000000000003</v>
      </c>
      <c r="J95" s="11">
        <f t="shared" si="8"/>
        <v>23.137783333333335</v>
      </c>
      <c r="L95" s="9">
        <f>Test!B93</f>
        <v>11588.5584</v>
      </c>
      <c r="M95" s="10">
        <f>Test!C93</f>
        <v>44.4572</v>
      </c>
      <c r="N95" s="10">
        <f>Test!D93</f>
        <v>45.262999999999998</v>
      </c>
      <c r="O95" s="10">
        <f>Test!E93</f>
        <v>45.892099999999999</v>
      </c>
      <c r="P95" s="10">
        <f>Test!F93</f>
        <v>83193.710000000006</v>
      </c>
      <c r="Q95" s="10">
        <f>Test!G93</f>
        <v>34.21</v>
      </c>
      <c r="R95" s="11">
        <f t="shared" si="9"/>
        <v>23.10936388888889</v>
      </c>
      <c r="S95" s="13">
        <f t="shared" si="10"/>
        <v>0.99877173002983821</v>
      </c>
      <c r="T95" s="13">
        <f t="shared" si="11"/>
        <v>0.9515994436717663</v>
      </c>
      <c r="U95" s="48"/>
      <c r="V95" s="30">
        <f>bdrate($D95:$D98,E95:E98,$L95:$L98,M95:M98)</f>
        <v>-2.7308882786819977E-2</v>
      </c>
      <c r="W95" s="35">
        <f>bdrate($D95:$D98,F95:F98,$L95:$L98,N95:N98)</f>
        <v>-0.17923341780261526</v>
      </c>
      <c r="X95" s="35">
        <f>bdrate($D95:$D98,G95:G98,$L95:$L98,O95:O98)</f>
        <v>-0.15011556321426145</v>
      </c>
      <c r="Y95" s="33">
        <f>bdrateOld($D95:$D98,E95:E98,$L95:$L98,M95:M98)</f>
        <v>-2.730808858045064E-2</v>
      </c>
      <c r="Z95" s="37">
        <f>bdrateOld($D95:$D98,F95:F98,$L95:$L98,N95:N98)</f>
        <v>-0.17810786333049078</v>
      </c>
      <c r="AA95" s="38">
        <f>bdrateOld($D95:$D98,G95:G98,$L95:$L98,O95:O98)</f>
        <v>-0.1492169644733834</v>
      </c>
    </row>
    <row r="96" spans="1:27" x14ac:dyDescent="0.2">
      <c r="A96" s="25"/>
      <c r="B96" s="25"/>
      <c r="C96" s="25">
        <v>27</v>
      </c>
      <c r="D96" s="12">
        <f>Reference!B94</f>
        <v>7384.5951999999997</v>
      </c>
      <c r="E96" s="13">
        <f>Reference!C94</f>
        <v>41.392899999999997</v>
      </c>
      <c r="F96" s="13">
        <f>Reference!D94</f>
        <v>41.767400000000002</v>
      </c>
      <c r="G96" s="13">
        <f>Reference!E94</f>
        <v>42.277500000000003</v>
      </c>
      <c r="H96" s="13">
        <f>Reference!F94</f>
        <v>63072.12</v>
      </c>
      <c r="I96" s="13">
        <f>Reference!G94</f>
        <v>25.7</v>
      </c>
      <c r="J96" s="14">
        <f t="shared" si="8"/>
        <v>17.520033333333334</v>
      </c>
      <c r="L96" s="12">
        <f>Test!B94</f>
        <v>7184.4823999999999</v>
      </c>
      <c r="M96" s="13">
        <f>Test!C94</f>
        <v>41.392000000000003</v>
      </c>
      <c r="N96" s="13">
        <f>Test!D94</f>
        <v>42.4529</v>
      </c>
      <c r="O96" s="13">
        <f>Test!E94</f>
        <v>42.872399999999999</v>
      </c>
      <c r="P96" s="13">
        <f>Test!F94</f>
        <v>64179.73</v>
      </c>
      <c r="Q96" s="13">
        <f>Test!G94</f>
        <v>25.25</v>
      </c>
      <c r="R96" s="14">
        <f t="shared" si="9"/>
        <v>17.82770277777778</v>
      </c>
      <c r="S96" s="13">
        <f t="shared" si="10"/>
        <v>1.0175610079382142</v>
      </c>
      <c r="T96" s="13">
        <f t="shared" si="11"/>
        <v>0.98249027237354092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Reference!B95</f>
        <v>4230.3191999999999</v>
      </c>
      <c r="E97" s="13">
        <f>Reference!C95</f>
        <v>38.107799999999997</v>
      </c>
      <c r="F97" s="13">
        <f>Reference!D95</f>
        <v>39.505600000000001</v>
      </c>
      <c r="G97" s="13">
        <f>Reference!E95</f>
        <v>39.864699999999999</v>
      </c>
      <c r="H97" s="13">
        <f>Reference!F95</f>
        <v>47328.5</v>
      </c>
      <c r="I97" s="13">
        <f>Reference!G95</f>
        <v>19.38</v>
      </c>
      <c r="J97" s="14">
        <f t="shared" si="8"/>
        <v>13.146805555555556</v>
      </c>
      <c r="L97" s="12">
        <f>Test!B95</f>
        <v>4117.8335999999999</v>
      </c>
      <c r="M97" s="13">
        <f>Test!C95</f>
        <v>38.107300000000002</v>
      </c>
      <c r="N97" s="13">
        <f>Test!D95</f>
        <v>40.331099999999999</v>
      </c>
      <c r="O97" s="13">
        <f>Test!E95</f>
        <v>40.536499999999997</v>
      </c>
      <c r="P97" s="13">
        <f>Test!F95</f>
        <v>48733.7</v>
      </c>
      <c r="Q97" s="13">
        <f>Test!G95</f>
        <v>20.04</v>
      </c>
      <c r="R97" s="14">
        <f t="shared" si="9"/>
        <v>13.537138888888888</v>
      </c>
      <c r="S97" s="13">
        <f t="shared" si="10"/>
        <v>1.0296903557053361</v>
      </c>
      <c r="T97" s="13">
        <f t="shared" si="11"/>
        <v>1.0340557275541795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Reference!B96</f>
        <v>2406.0320000000002</v>
      </c>
      <c r="E98" s="17">
        <f>Reference!C96</f>
        <v>35.013599999999997</v>
      </c>
      <c r="F98" s="17">
        <f>Reference!D96</f>
        <v>37.8217</v>
      </c>
      <c r="G98" s="17">
        <f>Reference!E96</f>
        <v>38.095599999999997</v>
      </c>
      <c r="H98" s="17">
        <f>Reference!F96</f>
        <v>29197.84</v>
      </c>
      <c r="I98" s="17">
        <f>Reference!G96</f>
        <v>15.68</v>
      </c>
      <c r="J98" s="18">
        <f t="shared" si="8"/>
        <v>8.1105111111111103</v>
      </c>
      <c r="L98" s="16">
        <f>Test!B96</f>
        <v>2336.1</v>
      </c>
      <c r="M98" s="17">
        <f>Test!C96</f>
        <v>35.014099999999999</v>
      </c>
      <c r="N98" s="17">
        <f>Test!D96</f>
        <v>38.656300000000002</v>
      </c>
      <c r="O98" s="17">
        <f>Test!E96</f>
        <v>38.752299999999998</v>
      </c>
      <c r="P98" s="17">
        <f>Test!F96</f>
        <v>28980.84</v>
      </c>
      <c r="Q98" s="17">
        <f>Test!G96</f>
        <v>15.07</v>
      </c>
      <c r="R98" s="18">
        <f t="shared" si="9"/>
        <v>8.0502333333333329</v>
      </c>
      <c r="S98" s="13">
        <f t="shared" si="10"/>
        <v>0.99256794338211318</v>
      </c>
      <c r="T98" s="13">
        <f t="shared" si="11"/>
        <v>0.96109693877551028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Reference!B97</f>
        <v>2311.2545</v>
      </c>
      <c r="E99" s="10">
        <f>Reference!C97</f>
        <v>47.573500000000003</v>
      </c>
      <c r="F99" s="10">
        <f>Reference!D97</f>
        <v>45.1235</v>
      </c>
      <c r="G99" s="10">
        <f>Reference!E97</f>
        <v>45.4452</v>
      </c>
      <c r="H99" s="10">
        <f>Reference!F97</f>
        <v>11801.32</v>
      </c>
      <c r="I99" s="10">
        <f>Reference!G97</f>
        <v>6.52</v>
      </c>
      <c r="J99" s="11">
        <f t="shared" ref="J99:J106" si="12">H99/3600</f>
        <v>3.2781444444444445</v>
      </c>
      <c r="L99" s="9">
        <f>Test!B97</f>
        <v>2246.3708000000001</v>
      </c>
      <c r="M99" s="10">
        <f>Test!C97</f>
        <v>47.576700000000002</v>
      </c>
      <c r="N99" s="10">
        <f>Test!D97</f>
        <v>45.3979</v>
      </c>
      <c r="O99" s="10">
        <f>Test!E97</f>
        <v>45.9208</v>
      </c>
      <c r="P99" s="10">
        <f>Test!F97</f>
        <v>12290.28</v>
      </c>
      <c r="Q99" s="10">
        <f>Test!G97</f>
        <v>6.67</v>
      </c>
      <c r="R99" s="11">
        <f t="shared" ref="R99:R106" si="13">P99/3600</f>
        <v>3.413966666666667</v>
      </c>
      <c r="S99" s="13">
        <f t="shared" ref="S99:S106" si="14">P99/H99</f>
        <v>1.0414326532964109</v>
      </c>
      <c r="T99" s="13">
        <f t="shared" ref="T99:T106" si="15">Q99/I99</f>
        <v>1.0230061349693251</v>
      </c>
      <c r="U99" s="48"/>
      <c r="V99" s="30">
        <f>bdrate($D99:$D102,E99:E102,$L99:$L102,M99:M102)</f>
        <v>-2.389202669188939E-2</v>
      </c>
      <c r="W99" s="35">
        <f>bdrate($D99:$D102,F99:F102,$L99:$L102,N99:N102)</f>
        <v>-3.9214717299823731E-2</v>
      </c>
      <c r="X99" s="35">
        <f>bdrate($D99:$D102,G99:G102,$L99:$L102,O99:O102)</f>
        <v>-0.11851264202450917</v>
      </c>
      <c r="Y99" s="33">
        <f>bdrateOld($D99:$D102,E99:E102,$L99:$L102,M99:M102)</f>
        <v>-2.3838325550233019E-2</v>
      </c>
      <c r="Z99" s="37">
        <f>bdrateOld($D99:$D102,F99:F102,$L99:$L102,N99:N102)</f>
        <v>-5.466065649805929E-2</v>
      </c>
      <c r="AA99" s="38">
        <f>bdrateOld($D99:$D102,G99:G102,$L99:$L102,O99:O102)</f>
        <v>-0.12949246421152616</v>
      </c>
    </row>
    <row r="100" spans="1:27" x14ac:dyDescent="0.2">
      <c r="A100" s="25"/>
      <c r="B100" s="25"/>
      <c r="C100" s="25">
        <v>27</v>
      </c>
      <c r="D100" s="12">
        <f>Reference!B98</f>
        <v>1712.4032</v>
      </c>
      <c r="E100" s="13">
        <f>Reference!C98</f>
        <v>43.760599999999997</v>
      </c>
      <c r="F100" s="13">
        <f>Reference!D98</f>
        <v>41.235399999999998</v>
      </c>
      <c r="G100" s="13">
        <f>Reference!E98</f>
        <v>41.509599999999999</v>
      </c>
      <c r="H100" s="13">
        <f>Reference!F98</f>
        <v>10364.77</v>
      </c>
      <c r="I100" s="13">
        <f>Reference!G98</f>
        <v>4.99</v>
      </c>
      <c r="J100" s="14">
        <f t="shared" si="12"/>
        <v>2.8791027777777778</v>
      </c>
      <c r="L100" s="12">
        <f>Test!B98</f>
        <v>1662.7689</v>
      </c>
      <c r="M100" s="13">
        <f>Test!C98</f>
        <v>43.768500000000003</v>
      </c>
      <c r="N100" s="13">
        <f>Test!D98</f>
        <v>41.283700000000003</v>
      </c>
      <c r="O100" s="13">
        <f>Test!E98</f>
        <v>42.364899999999999</v>
      </c>
      <c r="P100" s="13">
        <f>Test!F98</f>
        <v>10659.35</v>
      </c>
      <c r="Q100" s="13">
        <f>Test!G98</f>
        <v>4.84</v>
      </c>
      <c r="R100" s="14">
        <f t="shared" si="13"/>
        <v>2.9609305555555556</v>
      </c>
      <c r="S100" s="13">
        <f t="shared" si="14"/>
        <v>1.0284212770760952</v>
      </c>
      <c r="T100" s="13">
        <f t="shared" si="15"/>
        <v>0.96993987975951901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Reference!B99</f>
        <v>1307.5112999999999</v>
      </c>
      <c r="E101" s="13">
        <f>Reference!C99</f>
        <v>39.380499999999998</v>
      </c>
      <c r="F101" s="13">
        <f>Reference!D99</f>
        <v>39.130099999999999</v>
      </c>
      <c r="G101" s="13">
        <f>Reference!E99</f>
        <v>39.212699999999998</v>
      </c>
      <c r="H101" s="13">
        <f>Reference!F99</f>
        <v>9961.8700000000008</v>
      </c>
      <c r="I101" s="13">
        <f>Reference!G99</f>
        <v>4.01</v>
      </c>
      <c r="J101" s="14">
        <f t="shared" si="12"/>
        <v>2.7671861111111111</v>
      </c>
      <c r="L101" s="12">
        <f>Test!B99</f>
        <v>1278.9386999999999</v>
      </c>
      <c r="M101" s="13">
        <f>Test!C99</f>
        <v>39.385100000000001</v>
      </c>
      <c r="N101" s="13">
        <f>Test!D99</f>
        <v>39.240499999999997</v>
      </c>
      <c r="O101" s="13">
        <f>Test!E99</f>
        <v>40.545299999999997</v>
      </c>
      <c r="P101" s="13">
        <f>Test!F99</f>
        <v>10229.129999999999</v>
      </c>
      <c r="Q101" s="13">
        <f>Test!G99</f>
        <v>3.92</v>
      </c>
      <c r="R101" s="14">
        <f t="shared" si="13"/>
        <v>2.8414249999999996</v>
      </c>
      <c r="S101" s="13">
        <f t="shared" si="14"/>
        <v>1.026828296293768</v>
      </c>
      <c r="T101" s="13">
        <f t="shared" si="15"/>
        <v>0.97755610972568585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Reference!B100</f>
        <v>985.59950000000003</v>
      </c>
      <c r="E102" s="17">
        <f>Reference!C100</f>
        <v>34.548200000000001</v>
      </c>
      <c r="F102" s="17">
        <f>Reference!D100</f>
        <v>38.131599999999999</v>
      </c>
      <c r="G102" s="17">
        <f>Reference!E100</f>
        <v>37.8752</v>
      </c>
      <c r="H102" s="17">
        <f>Reference!F100</f>
        <v>9294.2900000000009</v>
      </c>
      <c r="I102" s="17">
        <f>Reference!G100</f>
        <v>3.52</v>
      </c>
      <c r="J102" s="18">
        <f t="shared" si="12"/>
        <v>2.5817472222222224</v>
      </c>
      <c r="L102" s="16">
        <f>Test!B100</f>
        <v>974.81449999999995</v>
      </c>
      <c r="M102" s="17">
        <f>Test!C100</f>
        <v>34.567900000000002</v>
      </c>
      <c r="N102" s="17">
        <f>Test!D100</f>
        <v>38.368600000000001</v>
      </c>
      <c r="O102" s="17">
        <f>Test!E100</f>
        <v>39.656399999999998</v>
      </c>
      <c r="P102" s="17">
        <f>Test!F100</f>
        <v>9231.99</v>
      </c>
      <c r="Q102" s="17">
        <f>Test!G100</f>
        <v>3.58</v>
      </c>
      <c r="R102" s="18">
        <f t="shared" si="13"/>
        <v>2.5644416666666667</v>
      </c>
      <c r="S102" s="13">
        <f t="shared" si="14"/>
        <v>0.99329695974625265</v>
      </c>
      <c r="T102" s="13">
        <f t="shared" si="15"/>
        <v>1.0170454545454546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Reference!B101</f>
        <v>530.7079</v>
      </c>
      <c r="E103" s="10">
        <f>Reference!C101</f>
        <v>51.223599999999998</v>
      </c>
      <c r="F103" s="10">
        <f>Reference!D101</f>
        <v>53.551299999999998</v>
      </c>
      <c r="G103" s="10">
        <f>Reference!E101</f>
        <v>54.528500000000001</v>
      </c>
      <c r="H103" s="10">
        <f>Reference!F101</f>
        <v>9194.02</v>
      </c>
      <c r="I103" s="10">
        <f>Reference!G101</f>
        <v>4.55</v>
      </c>
      <c r="J103" s="11">
        <f t="shared" si="12"/>
        <v>2.5538944444444445</v>
      </c>
      <c r="L103" s="9">
        <f>Test!B101</f>
        <v>515.55870000000004</v>
      </c>
      <c r="M103" s="10">
        <f>Test!C101</f>
        <v>51.226599999999998</v>
      </c>
      <c r="N103" s="10">
        <f>Test!D101</f>
        <v>54.150500000000001</v>
      </c>
      <c r="O103" s="10">
        <f>Test!E101</f>
        <v>55.115099999999998</v>
      </c>
      <c r="P103" s="10">
        <f>Test!F101</f>
        <v>9059.0400000000009</v>
      </c>
      <c r="Q103" s="10">
        <f>Test!G101</f>
        <v>4.3499999999999996</v>
      </c>
      <c r="R103" s="11">
        <f t="shared" si="13"/>
        <v>2.5164000000000004</v>
      </c>
      <c r="S103" s="13">
        <f t="shared" si="14"/>
        <v>0.9853187180362889</v>
      </c>
      <c r="T103" s="13">
        <f t="shared" si="15"/>
        <v>0.95604395604395598</v>
      </c>
      <c r="U103" s="48"/>
      <c r="V103" s="30">
        <f>bdrate($D103:$D106,E103:E106,$L103:$L106,M103:M106)</f>
        <v>-3.7044976294183352E-2</v>
      </c>
      <c r="W103" s="35">
        <f>bdrate($D103:$D106,F103:F106,$L103:$L106,N103:N106)</f>
        <v>-0.16325165838660904</v>
      </c>
      <c r="X103" s="35">
        <f>bdrate($D103:$D106,G103:G106,$L103:$L106,O103:O106)</f>
        <v>-0.18771400572810637</v>
      </c>
      <c r="Y103" s="33">
        <f>bdrateOld($D103:$D106,E103:E106,$L103:$L106,M103:M106)</f>
        <v>-3.7039622269140149E-2</v>
      </c>
      <c r="Z103" s="37">
        <f>bdrateOld($D103:$D106,F103:F106,$L103:$L106,N103:N106)</f>
        <v>-0.16200021676402454</v>
      </c>
      <c r="AA103" s="38">
        <f>bdrateOld($D103:$D106,G103:G106,$L103:$L106,O103:O106)</f>
        <v>-0.18370574109222415</v>
      </c>
    </row>
    <row r="104" spans="1:27" x14ac:dyDescent="0.2">
      <c r="A104" s="25"/>
      <c r="B104" s="25"/>
      <c r="C104" s="25">
        <v>27</v>
      </c>
      <c r="D104" s="12">
        <f>Reference!B102</f>
        <v>350.93239999999997</v>
      </c>
      <c r="E104" s="13">
        <f>Reference!C102</f>
        <v>47.546100000000003</v>
      </c>
      <c r="F104" s="13">
        <f>Reference!D102</f>
        <v>50.006</v>
      </c>
      <c r="G104" s="13">
        <f>Reference!E102</f>
        <v>51.207599999999999</v>
      </c>
      <c r="H104" s="13">
        <f>Reference!F102</f>
        <v>7011.68</v>
      </c>
      <c r="I104" s="13">
        <f>Reference!G102</f>
        <v>4.2300000000000004</v>
      </c>
      <c r="J104" s="14">
        <f t="shared" si="12"/>
        <v>1.947688888888889</v>
      </c>
      <c r="L104" s="12">
        <f>Test!B102</f>
        <v>338.40030000000002</v>
      </c>
      <c r="M104" s="13">
        <f>Test!C102</f>
        <v>47.548200000000001</v>
      </c>
      <c r="N104" s="13">
        <f>Test!D102</f>
        <v>50.840899999999998</v>
      </c>
      <c r="O104" s="13">
        <f>Test!E102</f>
        <v>52.023000000000003</v>
      </c>
      <c r="P104" s="13">
        <f>Test!F102</f>
        <v>7089.21</v>
      </c>
      <c r="Q104" s="13">
        <f>Test!G102</f>
        <v>4.09</v>
      </c>
      <c r="R104" s="14">
        <f t="shared" si="13"/>
        <v>1.969225</v>
      </c>
      <c r="S104" s="13">
        <f t="shared" si="14"/>
        <v>1.0110572644501745</v>
      </c>
      <c r="T104" s="13">
        <f t="shared" si="15"/>
        <v>0.96690307328605185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Reference!B103</f>
        <v>235.24600000000001</v>
      </c>
      <c r="E105" s="13">
        <f>Reference!C103</f>
        <v>43.942500000000003</v>
      </c>
      <c r="F105" s="13">
        <f>Reference!D103</f>
        <v>47.354700000000001</v>
      </c>
      <c r="G105" s="13">
        <f>Reference!E103</f>
        <v>48.6006</v>
      </c>
      <c r="H105" s="13">
        <f>Reference!F103</f>
        <v>5889.04</v>
      </c>
      <c r="I105" s="13">
        <f>Reference!G103</f>
        <v>3.82</v>
      </c>
      <c r="J105" s="14">
        <f t="shared" si="12"/>
        <v>1.6358444444444444</v>
      </c>
      <c r="L105" s="12">
        <f>Test!B103</f>
        <v>226.19210000000001</v>
      </c>
      <c r="M105" s="13">
        <f>Test!C103</f>
        <v>43.9435</v>
      </c>
      <c r="N105" s="13">
        <f>Test!D103</f>
        <v>48.4557</v>
      </c>
      <c r="O105" s="13">
        <f>Test!E103</f>
        <v>50.125599999999999</v>
      </c>
      <c r="P105" s="13">
        <f>Test!F103</f>
        <v>5781.6</v>
      </c>
      <c r="Q105" s="13">
        <f>Test!G103</f>
        <v>3.59</v>
      </c>
      <c r="R105" s="14">
        <f t="shared" si="13"/>
        <v>1.6060000000000001</v>
      </c>
      <c r="S105" s="13">
        <f t="shared" si="14"/>
        <v>0.98175593984758136</v>
      </c>
      <c r="T105" s="13">
        <f t="shared" si="15"/>
        <v>0.93979057591623039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Reference!B104</f>
        <v>155.67750000000001</v>
      </c>
      <c r="E106" s="17">
        <f>Reference!C104</f>
        <v>40.192799999999998</v>
      </c>
      <c r="F106" s="17">
        <f>Reference!D104</f>
        <v>45.403599999999997</v>
      </c>
      <c r="G106" s="17">
        <f>Reference!E104</f>
        <v>46.7485</v>
      </c>
      <c r="H106" s="17">
        <f>Reference!F104</f>
        <v>4684.0600000000004</v>
      </c>
      <c r="I106" s="17">
        <f>Reference!G104</f>
        <v>3.28</v>
      </c>
      <c r="J106" s="18">
        <f t="shared" si="12"/>
        <v>1.3011277777777779</v>
      </c>
      <c r="L106" s="16">
        <f>Test!B104</f>
        <v>148.92509999999999</v>
      </c>
      <c r="M106" s="17">
        <f>Test!C104</f>
        <v>40.195099999999996</v>
      </c>
      <c r="N106" s="17">
        <f>Test!D104</f>
        <v>46.631399999999999</v>
      </c>
      <c r="O106" s="17">
        <f>Test!E104</f>
        <v>48.592599999999997</v>
      </c>
      <c r="P106" s="17">
        <f>Test!F104</f>
        <v>4636.3999999999996</v>
      </c>
      <c r="Q106" s="17">
        <f>Test!G104</f>
        <v>3.13</v>
      </c>
      <c r="R106" s="18">
        <f t="shared" si="13"/>
        <v>1.2878888888888889</v>
      </c>
      <c r="S106" s="17">
        <f t="shared" si="14"/>
        <v>0.98982506628864686</v>
      </c>
      <c r="T106" s="17">
        <f t="shared" si="15"/>
        <v>0.9542682926829269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>
        <f>GEOMEAN(I3:I14)</f>
        <v>27.610063989488609</v>
      </c>
      <c r="J107" s="48">
        <f>GEOMEAN(J3:J14)</f>
        <v>8.4230555701162313</v>
      </c>
      <c r="Q107" s="48">
        <f>GEOMEAN(Q3:Q14)</f>
        <v>26.327725458059192</v>
      </c>
      <c r="R107" s="48">
        <f>GEOMEAN(R3:R14)</f>
        <v>8.3694078865586317</v>
      </c>
      <c r="S107" s="48">
        <f>GEOMEAN(S3:S14)</f>
        <v>0.99363085247259508</v>
      </c>
      <c r="T107" s="48">
        <f>GEOMEAN(T3:T14)</f>
        <v>0.95355539444176529</v>
      </c>
      <c r="V107" s="30">
        <f t="shared" ref="V107:AA107" si="16">AVERAGE(V3:V14)</f>
        <v>2.0716044871652795E-2</v>
      </c>
      <c r="W107" s="35">
        <f t="shared" si="16"/>
        <v>-2.2469871292061534E-2</v>
      </c>
      <c r="X107" s="35">
        <f t="shared" si="16"/>
        <v>-2.1597594893708494E-2</v>
      </c>
      <c r="Y107" s="30">
        <f t="shared" si="16"/>
        <v>2.0645576716227465E-2</v>
      </c>
      <c r="Z107" s="35">
        <f t="shared" si="16"/>
        <v>-2.3165797910868407E-2</v>
      </c>
      <c r="AA107" s="36">
        <f t="shared" si="16"/>
        <v>-2.2385777002385754E-2</v>
      </c>
    </row>
    <row r="108" spans="1:27" x14ac:dyDescent="0.2">
      <c r="B108" s="15" t="s">
        <v>7</v>
      </c>
      <c r="I108" s="48">
        <f>GEOMEAN(I15:I26)</f>
        <v>32.744278604672701</v>
      </c>
      <c r="J108" s="48">
        <f>GEOMEAN(J15:J26)</f>
        <v>14.074528326871999</v>
      </c>
      <c r="Q108" s="48">
        <f>GEOMEAN(Q15:Q26)</f>
        <v>32.679960856464241</v>
      </c>
      <c r="R108" s="48">
        <f>GEOMEAN(R15:R26)</f>
        <v>14.428695539854939</v>
      </c>
      <c r="S108" s="48">
        <f>GEOMEAN(S15:S26)</f>
        <v>1.025163700321434</v>
      </c>
      <c r="T108" s="48">
        <f>GEOMEAN(T15:T26)</f>
        <v>0.99803575613972206</v>
      </c>
      <c r="V108" s="33">
        <f t="shared" ref="V108:AA108" si="17">AVERAGE(V15:V26)</f>
        <v>1.6149347694069432E-2</v>
      </c>
      <c r="W108" s="37">
        <f t="shared" si="17"/>
        <v>-3.2916005080088184E-2</v>
      </c>
      <c r="X108" s="37">
        <f t="shared" si="17"/>
        <v>-6.8902589966172448E-2</v>
      </c>
      <c r="Y108" s="33">
        <f t="shared" si="17"/>
        <v>1.6193505916997235E-2</v>
      </c>
      <c r="Z108" s="37">
        <f t="shared" si="17"/>
        <v>-4.0451405237862427E-2</v>
      </c>
      <c r="AA108" s="38">
        <f t="shared" si="17"/>
        <v>-7.123936031781837E-2</v>
      </c>
    </row>
    <row r="109" spans="1:27" x14ac:dyDescent="0.2">
      <c r="B109" s="15" t="s">
        <v>8</v>
      </c>
      <c r="I109" s="48">
        <f>GEOMEAN(I27:I46)</f>
        <v>16.005886536020384</v>
      </c>
      <c r="J109" s="48">
        <f>GEOMEAN(J27:J46)</f>
        <v>7.4721209440523211</v>
      </c>
      <c r="Q109" s="48">
        <f>GEOMEAN(Q27:Q46)</f>
        <v>16.092336944572157</v>
      </c>
      <c r="R109" s="48">
        <f>GEOMEAN(R27:R46)</f>
        <v>7.5903574495384207</v>
      </c>
      <c r="S109" s="48">
        <f>GEOMEAN(S27:S46)</f>
        <v>1.0158236873267172</v>
      </c>
      <c r="T109" s="48">
        <f>GEOMEAN(T27:T46)</f>
        <v>1.0054011634005542</v>
      </c>
      <c r="V109" s="33">
        <f t="shared" ref="V109:AA109" si="18">AVERAGE(V27:V46)</f>
        <v>9.3282016708951861E-3</v>
      </c>
      <c r="W109" s="37">
        <f t="shared" si="18"/>
        <v>-5.2218536682236215E-2</v>
      </c>
      <c r="X109" s="37">
        <f t="shared" si="18"/>
        <v>-1.3401890479779021E-3</v>
      </c>
      <c r="Y109" s="33">
        <f t="shared" si="18"/>
        <v>9.4259944094608368E-3</v>
      </c>
      <c r="Z109" s="37">
        <f t="shared" si="18"/>
        <v>-5.7301532302908E-2</v>
      </c>
      <c r="AA109" s="38">
        <f t="shared" si="18"/>
        <v>4.2930429303797753E-3</v>
      </c>
    </row>
    <row r="110" spans="1:27" x14ac:dyDescent="0.2">
      <c r="B110" s="15" t="s">
        <v>9</v>
      </c>
      <c r="I110" s="48">
        <f>GEOMEAN(I47:I62)</f>
        <v>3.4892200538573732</v>
      </c>
      <c r="J110" s="48">
        <f>GEOMEAN(J47:J62)</f>
        <v>1.8626029815163563</v>
      </c>
      <c r="Q110" s="48">
        <f>GEOMEAN(Q47:Q62)</f>
        <v>3.5085701755239342</v>
      </c>
      <c r="R110" s="48">
        <f>GEOMEAN(R47:R62)</f>
        <v>1.8841789319276727</v>
      </c>
      <c r="S110" s="48">
        <f>GEOMEAN(S47:S62)</f>
        <v>1.0115837624149788</v>
      </c>
      <c r="T110" s="48">
        <f>GEOMEAN(T47:T62)</f>
        <v>1.0055456868205173</v>
      </c>
      <c r="V110" s="33">
        <f t="shared" ref="V110:AA110" si="19">AVERAGE(V47:V62)</f>
        <v>6.5707098657666885E-3</v>
      </c>
      <c r="W110" s="37">
        <f t="shared" si="19"/>
        <v>-4.9117767335913332E-3</v>
      </c>
      <c r="X110" s="37">
        <f t="shared" si="19"/>
        <v>-2.3612954577870438E-3</v>
      </c>
      <c r="Y110" s="33">
        <f t="shared" si="19"/>
        <v>7.2119332632786248E-3</v>
      </c>
      <c r="Z110" s="37">
        <f t="shared" si="19"/>
        <v>-5.8686611642694286E-3</v>
      </c>
      <c r="AA110" s="38">
        <f t="shared" si="19"/>
        <v>-4.1033400166468337E-3</v>
      </c>
    </row>
    <row r="111" spans="1:27" x14ac:dyDescent="0.2">
      <c r="B111" s="15" t="s">
        <v>12</v>
      </c>
      <c r="I111" s="48">
        <f>GEOMEAN(I63:I78)</f>
        <v>1.0350946987808636</v>
      </c>
      <c r="J111" s="48">
        <f>GEOMEAN(J63:J78)</f>
        <v>0.53185606191561485</v>
      </c>
      <c r="Q111" s="48">
        <f>GEOMEAN(Q63:Q78)</f>
        <v>1.0420101797782793</v>
      </c>
      <c r="R111" s="48">
        <f>GEOMEAN(R63:R78)</f>
        <v>0.54347307224021146</v>
      </c>
      <c r="S111" s="48">
        <f>GEOMEAN(S63:S78)</f>
        <v>1.0218423952577602</v>
      </c>
      <c r="T111" s="48">
        <f>GEOMEAN(T63:T78)</f>
        <v>1.0066810128634227</v>
      </c>
      <c r="V111" s="33">
        <f t="shared" ref="V111:AA111" si="20">AVERAGE(V63:V78)</f>
        <v>-1.0413031331493988E-2</v>
      </c>
      <c r="W111" s="37">
        <f t="shared" si="20"/>
        <v>-0.1052389329040864</v>
      </c>
      <c r="X111" s="37">
        <f t="shared" si="20"/>
        <v>-0.10543633335954161</v>
      </c>
      <c r="Y111" s="33">
        <f t="shared" si="20"/>
        <v>-1.0402500034842527E-2</v>
      </c>
      <c r="Z111" s="37">
        <f t="shared" si="20"/>
        <v>-0.1029893664468062</v>
      </c>
      <c r="AA111" s="38">
        <f t="shared" si="20"/>
        <v>-0.10440814469121842</v>
      </c>
    </row>
    <row r="112" spans="1:27" x14ac:dyDescent="0.2">
      <c r="B112" s="15" t="s">
        <v>10</v>
      </c>
      <c r="I112" s="48">
        <f>GEOMEAN(I79:I90)</f>
        <v>5.8859371868770465</v>
      </c>
      <c r="J112" s="48">
        <f>GEOMEAN(J79:J90)</f>
        <v>2.496549984330672</v>
      </c>
      <c r="Q112" s="48">
        <f>GEOMEAN(Q79:Q90)</f>
        <v>5.9042700711758158</v>
      </c>
      <c r="R112" s="48">
        <f>GEOMEAN(R79:R90)</f>
        <v>2.536312112267944</v>
      </c>
      <c r="S112" s="48">
        <f>GEOMEAN(S79:S90)</f>
        <v>1.0159268303005486</v>
      </c>
      <c r="T112" s="48">
        <f>GEOMEAN(T79:T90)</f>
        <v>1.0031146924808581</v>
      </c>
      <c r="V112" s="33">
        <f t="shared" ref="V112:AA112" si="21">AVERAGE(V79:V88)</f>
        <v>5.2183229564025284E-3</v>
      </c>
      <c r="W112" s="37">
        <f t="shared" si="21"/>
        <v>-2.4448198137297261E-2</v>
      </c>
      <c r="X112" s="37">
        <f t="shared" si="21"/>
        <v>-4.5849802861029208E-2</v>
      </c>
      <c r="Y112" s="33">
        <f t="shared" si="21"/>
        <v>5.0925235228223746E-3</v>
      </c>
      <c r="Z112" s="37">
        <f t="shared" si="21"/>
        <v>-2.342029916772433E-2</v>
      </c>
      <c r="AA112" s="38">
        <f t="shared" si="21"/>
        <v>-4.4637367044390995E-2</v>
      </c>
    </row>
    <row r="113" spans="1:27" ht="12.75" customHeight="1" thickBot="1" x14ac:dyDescent="0.25">
      <c r="B113" s="15" t="s">
        <v>13</v>
      </c>
      <c r="I113" s="48">
        <f>GEOMEAN(I91:I106)</f>
        <v>6.3267402650759159</v>
      </c>
      <c r="J113" s="48">
        <f>GEOMEAN(J91:J106)</f>
        <v>3.7948033885443491</v>
      </c>
      <c r="Q113" s="48">
        <f>GEOMEAN(Q91:Q106)</f>
        <v>6.0937578993034132</v>
      </c>
      <c r="R113" s="48">
        <f>GEOMEAN(R91:R106)</f>
        <v>3.8075284742665225</v>
      </c>
      <c r="S113" s="48">
        <f>GEOMEAN(S91:S106)</f>
        <v>1.0033532924948332</v>
      </c>
      <c r="T113" s="48">
        <f>GEOMEAN(T91:T106)</f>
        <v>0.9631749754200305</v>
      </c>
      <c r="V113" s="33">
        <f t="shared" ref="V113:AA113" si="22">AVERAGE(V91:V106)</f>
        <v>-3.2388753728584158E-2</v>
      </c>
      <c r="W113" s="37">
        <f t="shared" si="22"/>
        <v>-0.13984910157765043</v>
      </c>
      <c r="X113" s="37">
        <f t="shared" si="22"/>
        <v>-0.16293747492000329</v>
      </c>
      <c r="Y113" s="33">
        <f t="shared" si="22"/>
        <v>-3.238289530834268E-2</v>
      </c>
      <c r="Z113" s="37">
        <f t="shared" si="22"/>
        <v>-0.14302528992812075</v>
      </c>
      <c r="AA113" s="38">
        <f t="shared" si="22"/>
        <v>-0.16409098025308042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>
        <f>GEOMEAN(I3:I62, I79:I90)</f>
        <v>11.91602834702449</v>
      </c>
      <c r="J114" s="50">
        <f>GEOMEAN(J3:J62,J79:J90)</f>
        <v>5.1823172857903828</v>
      </c>
      <c r="K114" s="2"/>
      <c r="L114" s="2"/>
      <c r="M114" s="2"/>
      <c r="N114" s="2"/>
      <c r="O114" s="2"/>
      <c r="P114" s="2"/>
      <c r="Q114" s="50">
        <f>GEOMEAN(Q3:Q62,Q79:Q90)</f>
        <v>11.856473310893479</v>
      </c>
      <c r="R114" s="50">
        <f>GEOMEAN(R3:R62,R79:R90)</f>
        <v>5.248190888674598</v>
      </c>
      <c r="S114" s="50">
        <f>GEOMEAN(S3:S62,S79:S90)</f>
        <v>1.0127112253556603</v>
      </c>
      <c r="T114" s="50">
        <f>GEOMEAN(T3:T62,T79:T90)</f>
        <v>0.99500210687683677</v>
      </c>
      <c r="U114" s="2"/>
      <c r="V114" s="34">
        <f t="shared" ref="V114:AA114" si="23">AVERAGE(V3:V62,V79:V90)</f>
        <v>1.1065277465773163E-2</v>
      </c>
      <c r="W114" s="39">
        <f t="shared" si="23"/>
        <v>-2.8902334104104851E-2</v>
      </c>
      <c r="X114" s="39">
        <f t="shared" si="23"/>
        <v>-2.362200501298712E-2</v>
      </c>
      <c r="Y114" s="34">
        <f t="shared" si="23"/>
        <v>1.1209584642697772E-2</v>
      </c>
      <c r="Z114" s="39">
        <f t="shared" si="23"/>
        <v>-3.1727489617832401E-2</v>
      </c>
      <c r="AA114" s="40">
        <f t="shared" si="23"/>
        <v>-2.2763092139359658E-2</v>
      </c>
    </row>
    <row r="115" spans="1:27" x14ac:dyDescent="0.2">
      <c r="B115" s="15" t="s">
        <v>78</v>
      </c>
      <c r="I115" s="81">
        <f>GEOMEAN(I3:I106)</f>
        <v>7.4229617949881037</v>
      </c>
      <c r="J115" s="81">
        <f>GEOMEAN(J3:J106)</f>
        <v>3.4800940654028474</v>
      </c>
      <c r="Q115" s="81">
        <f>GEOMEAN(Q3:Q106)</f>
        <v>7.3622197191597705</v>
      </c>
      <c r="R115" s="81">
        <f>GEOMEAN(R3:R106)</f>
        <v>3.5241637199690281</v>
      </c>
      <c r="S115" s="81"/>
      <c r="T115" s="81"/>
    </row>
    <row r="116" spans="1:27" x14ac:dyDescent="0.2">
      <c r="B116" s="15" t="s">
        <v>79</v>
      </c>
      <c r="Q116" s="19">
        <f>Q115/I115</f>
        <v>0.99181700276709683</v>
      </c>
      <c r="R116" s="19">
        <f>R115/J115</f>
        <v>1.0126633515468149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961" priority="1163" operator="greaterThan">
      <formula>0.03</formula>
    </cfRule>
    <cfRule type="cellIs" dxfId="960" priority="1164" stopIfTrue="1" operator="lessThan">
      <formula>-0.03</formula>
    </cfRule>
  </conditionalFormatting>
  <conditionalFormatting sqref="V3:X14">
    <cfRule type="cellIs" dxfId="959" priority="1177" operator="greaterThan">
      <formula>0.03</formula>
    </cfRule>
    <cfRule type="cellIs" dxfId="958" priority="1178" stopIfTrue="1" operator="lessThan">
      <formula>-0.03</formula>
    </cfRule>
  </conditionalFormatting>
  <conditionalFormatting sqref="Y3">
    <cfRule type="cellIs" dxfId="957" priority="1175" operator="greaterThan">
      <formula>0.03</formula>
    </cfRule>
    <cfRule type="cellIs" dxfId="956" priority="1176" stopIfTrue="1" operator="lessThan">
      <formula>-0.03</formula>
    </cfRule>
  </conditionalFormatting>
  <conditionalFormatting sqref="Z3">
    <cfRule type="cellIs" dxfId="955" priority="1173" operator="greaterThan">
      <formula>0.03</formula>
    </cfRule>
    <cfRule type="cellIs" dxfId="954" priority="1174" stopIfTrue="1" operator="lessThan">
      <formula>-0.03</formula>
    </cfRule>
  </conditionalFormatting>
  <conditionalFormatting sqref="AA3">
    <cfRule type="cellIs" dxfId="953" priority="1171" operator="greaterThan">
      <formula>0.03</formula>
    </cfRule>
    <cfRule type="cellIs" dxfId="952" priority="1172" stopIfTrue="1" operator="lessThan">
      <formula>-0.03</formula>
    </cfRule>
  </conditionalFormatting>
  <conditionalFormatting sqref="Y7">
    <cfRule type="cellIs" dxfId="951" priority="1169" operator="greaterThan">
      <formula>0.03</formula>
    </cfRule>
    <cfRule type="cellIs" dxfId="950" priority="1170" stopIfTrue="1" operator="lessThan">
      <formula>-0.03</formula>
    </cfRule>
  </conditionalFormatting>
  <conditionalFormatting sqref="Z7">
    <cfRule type="cellIs" dxfId="949" priority="1167" operator="greaterThan">
      <formula>0.03</formula>
    </cfRule>
    <cfRule type="cellIs" dxfId="948" priority="1168" stopIfTrue="1" operator="lessThan">
      <formula>-0.03</formula>
    </cfRule>
  </conditionalFormatting>
  <conditionalFormatting sqref="AA7">
    <cfRule type="cellIs" dxfId="947" priority="1165" operator="greaterThan">
      <formula>0.03</formula>
    </cfRule>
    <cfRule type="cellIs" dxfId="946" priority="1166" stopIfTrue="1" operator="lessThan">
      <formula>-0.03</formula>
    </cfRule>
  </conditionalFormatting>
  <conditionalFormatting sqref="Z11">
    <cfRule type="cellIs" dxfId="945" priority="1161" operator="greaterThan">
      <formula>0.03</formula>
    </cfRule>
    <cfRule type="cellIs" dxfId="944" priority="1162" stopIfTrue="1" operator="lessThan">
      <formula>-0.03</formula>
    </cfRule>
  </conditionalFormatting>
  <conditionalFormatting sqref="AA11">
    <cfRule type="cellIs" dxfId="943" priority="1159" operator="greaterThan">
      <formula>0.03</formula>
    </cfRule>
    <cfRule type="cellIs" dxfId="942" priority="1160" stopIfTrue="1" operator="lessThan">
      <formula>-0.03</formula>
    </cfRule>
  </conditionalFormatting>
  <conditionalFormatting sqref="Y14:Z14">
    <cfRule type="cellIs" dxfId="941" priority="1087" operator="greaterThan">
      <formula>0.03</formula>
    </cfRule>
    <cfRule type="cellIs" dxfId="940" priority="1088" stopIfTrue="1" operator="lessThan">
      <formula>-0.03</formula>
    </cfRule>
  </conditionalFormatting>
  <conditionalFormatting sqref="Y6:Z6">
    <cfRule type="cellIs" dxfId="939" priority="1091" operator="greaterThan">
      <formula>0.03</formula>
    </cfRule>
    <cfRule type="cellIs" dxfId="938" priority="1092" stopIfTrue="1" operator="lessThan">
      <formula>-0.03</formula>
    </cfRule>
  </conditionalFormatting>
  <conditionalFormatting sqref="Y10:Z10">
    <cfRule type="cellIs" dxfId="937" priority="1089" operator="greaterThan">
      <formula>0.03</formula>
    </cfRule>
    <cfRule type="cellIs" dxfId="936" priority="1090" stopIfTrue="1" operator="lessThan">
      <formula>-0.03</formula>
    </cfRule>
  </conditionalFormatting>
  <conditionalFormatting sqref="V110:AA110">
    <cfRule type="cellIs" dxfId="935" priority="555" operator="greaterThan">
      <formula>0.03</formula>
    </cfRule>
    <cfRule type="cellIs" dxfId="934" priority="556" stopIfTrue="1" operator="lessThan">
      <formula>-0.03</formula>
    </cfRule>
  </conditionalFormatting>
  <conditionalFormatting sqref="Y94:Z94">
    <cfRule type="cellIs" dxfId="933" priority="103" operator="greaterThan">
      <formula>0.03</formula>
    </cfRule>
    <cfRule type="cellIs" dxfId="932" priority="104" stopIfTrue="1" operator="lessThan">
      <formula>-0.03</formula>
    </cfRule>
  </conditionalFormatting>
  <conditionalFormatting sqref="V113:AA113">
    <cfRule type="cellIs" dxfId="931" priority="553" operator="greaterThan">
      <formula>0.03</formula>
    </cfRule>
    <cfRule type="cellIs" dxfId="930" priority="554" stopIfTrue="1" operator="lessThan">
      <formula>-0.03</formula>
    </cfRule>
  </conditionalFormatting>
  <conditionalFormatting sqref="V114:AA114">
    <cfRule type="cellIs" dxfId="929" priority="561" operator="greaterThan">
      <formula>0.03</formula>
    </cfRule>
    <cfRule type="cellIs" dxfId="928" priority="562" stopIfTrue="1" operator="lessThan">
      <formula>-0.03</formula>
    </cfRule>
  </conditionalFormatting>
  <conditionalFormatting sqref="V107:AA107 V109:AA109">
    <cfRule type="cellIs" dxfId="927" priority="557" operator="greaterThan">
      <formula>0.03</formula>
    </cfRule>
    <cfRule type="cellIs" dxfId="926" priority="558" stopIfTrue="1" operator="lessThan">
      <formula>-0.03</formula>
    </cfRule>
  </conditionalFormatting>
  <conditionalFormatting sqref="V111:AA112">
    <cfRule type="cellIs" dxfId="925" priority="559" operator="greaterThan">
      <formula>0.03</formula>
    </cfRule>
    <cfRule type="cellIs" dxfId="924" priority="560" stopIfTrue="1" operator="lessThan">
      <formula>-0.03</formula>
    </cfRule>
  </conditionalFormatting>
  <conditionalFormatting sqref="Z103">
    <cfRule type="cellIs" dxfId="923" priority="107" operator="greaterThan">
      <formula>0.03</formula>
    </cfRule>
    <cfRule type="cellIs" dxfId="922" priority="108" stopIfTrue="1" operator="lessThan">
      <formula>-0.03</formula>
    </cfRule>
  </conditionalFormatting>
  <conditionalFormatting sqref="Y103">
    <cfRule type="cellIs" dxfId="921" priority="109" operator="greaterThan">
      <formula>0.03</formula>
    </cfRule>
    <cfRule type="cellIs" dxfId="920" priority="110" stopIfTrue="1" operator="lessThan">
      <formula>-0.03</formula>
    </cfRule>
  </conditionalFormatting>
  <conditionalFormatting sqref="AA103">
    <cfRule type="cellIs" dxfId="919" priority="105" operator="greaterThan">
      <formula>0.03</formula>
    </cfRule>
    <cfRule type="cellIs" dxfId="918" priority="106" stopIfTrue="1" operator="lessThan">
      <formula>-0.03</formula>
    </cfRule>
  </conditionalFormatting>
  <conditionalFormatting sqref="V79:X90">
    <cfRule type="cellIs" dxfId="917" priority="55" operator="greaterThan">
      <formula>0.03</formula>
    </cfRule>
    <cfRule type="cellIs" dxfId="916" priority="56" stopIfTrue="1" operator="lessThan">
      <formula>-0.03</formula>
    </cfRule>
  </conditionalFormatting>
  <conditionalFormatting sqref="Y79">
    <cfRule type="cellIs" dxfId="915" priority="53" operator="greaterThan">
      <formula>0.03</formula>
    </cfRule>
    <cfRule type="cellIs" dxfId="914" priority="54" stopIfTrue="1" operator="lessThan">
      <formula>-0.03</formula>
    </cfRule>
  </conditionalFormatting>
  <conditionalFormatting sqref="Z87">
    <cfRule type="cellIs" dxfId="913" priority="39" operator="greaterThan">
      <formula>0.03</formula>
    </cfRule>
    <cfRule type="cellIs" dxfId="912" priority="40" stopIfTrue="1" operator="lessThan">
      <formula>-0.03</formula>
    </cfRule>
  </conditionalFormatting>
  <conditionalFormatting sqref="Z79">
    <cfRule type="cellIs" dxfId="911" priority="51" operator="greaterThan">
      <formula>0.03</formula>
    </cfRule>
    <cfRule type="cellIs" dxfId="910" priority="52" stopIfTrue="1" operator="lessThan">
      <formula>-0.03</formula>
    </cfRule>
  </conditionalFormatting>
  <conditionalFormatting sqref="Y86:Z86">
    <cfRule type="cellIs" dxfId="909" priority="33" operator="greaterThan">
      <formula>0.03</formula>
    </cfRule>
    <cfRule type="cellIs" dxfId="908" priority="34" stopIfTrue="1" operator="lessThan">
      <formula>-0.03</formula>
    </cfRule>
  </conditionalFormatting>
  <conditionalFormatting sqref="Y87">
    <cfRule type="cellIs" dxfId="907" priority="41" operator="greaterThan">
      <formula>0.03</formula>
    </cfRule>
    <cfRule type="cellIs" dxfId="906" priority="42" stopIfTrue="1" operator="lessThan">
      <formula>-0.03</formula>
    </cfRule>
  </conditionalFormatting>
  <conditionalFormatting sqref="AA79">
    <cfRule type="cellIs" dxfId="905" priority="49" operator="greaterThan">
      <formula>0.03</formula>
    </cfRule>
    <cfRule type="cellIs" dxfId="904" priority="50" stopIfTrue="1" operator="lessThan">
      <formula>-0.03</formula>
    </cfRule>
  </conditionalFormatting>
  <conditionalFormatting sqref="AA83">
    <cfRule type="cellIs" dxfId="903" priority="43" operator="greaterThan">
      <formula>0.03</formula>
    </cfRule>
    <cfRule type="cellIs" dxfId="902" priority="44" stopIfTrue="1" operator="lessThan">
      <formula>-0.03</formula>
    </cfRule>
  </conditionalFormatting>
  <conditionalFormatting sqref="Y82:Z82">
    <cfRule type="cellIs" dxfId="901" priority="35" operator="greaterThan">
      <formula>0.03</formula>
    </cfRule>
    <cfRule type="cellIs" dxfId="900" priority="36" stopIfTrue="1" operator="lessThan">
      <formula>-0.03</formula>
    </cfRule>
  </conditionalFormatting>
  <conditionalFormatting sqref="Y90:Z90">
    <cfRule type="cellIs" dxfId="899" priority="31" operator="greaterThan">
      <formula>0.03</formula>
    </cfRule>
    <cfRule type="cellIs" dxfId="898" priority="32" stopIfTrue="1" operator="lessThan">
      <formula>-0.03</formula>
    </cfRule>
  </conditionalFormatting>
  <conditionalFormatting sqref="Y83">
    <cfRule type="cellIs" dxfId="897" priority="47" operator="greaterThan">
      <formula>0.03</formula>
    </cfRule>
    <cfRule type="cellIs" dxfId="896" priority="48" stopIfTrue="1" operator="lessThan">
      <formula>-0.03</formula>
    </cfRule>
  </conditionalFormatting>
  <conditionalFormatting sqref="Z83">
    <cfRule type="cellIs" dxfId="895" priority="45" operator="greaterThan">
      <formula>0.03</formula>
    </cfRule>
    <cfRule type="cellIs" dxfId="894" priority="46" stopIfTrue="1" operator="lessThan">
      <formula>-0.03</formula>
    </cfRule>
  </conditionalFormatting>
  <conditionalFormatting sqref="AA87">
    <cfRule type="cellIs" dxfId="893" priority="37" operator="greaterThan">
      <formula>0.03</formula>
    </cfRule>
    <cfRule type="cellIs" dxfId="892" priority="38" stopIfTrue="1" operator="lessThan">
      <formula>-0.03</formula>
    </cfRule>
  </conditionalFormatting>
  <conditionalFormatting sqref="V108:AA108">
    <cfRule type="cellIs" dxfId="891" priority="463" operator="greaterThan">
      <formula>0.03</formula>
    </cfRule>
    <cfRule type="cellIs" dxfId="890" priority="464" stopIfTrue="1" operator="lessThan">
      <formula>-0.03</formula>
    </cfRule>
  </conditionalFormatting>
  <conditionalFormatting sqref="Y23">
    <cfRule type="cellIs" dxfId="889" priority="433" operator="greaterThan">
      <formula>0.03</formula>
    </cfRule>
    <cfRule type="cellIs" dxfId="888" priority="434" stopIfTrue="1" operator="lessThan">
      <formula>-0.03</formula>
    </cfRule>
  </conditionalFormatting>
  <conditionalFormatting sqref="V15:X26">
    <cfRule type="cellIs" dxfId="887" priority="447" operator="greaterThan">
      <formula>0.03</formula>
    </cfRule>
    <cfRule type="cellIs" dxfId="886" priority="448" stopIfTrue="1" operator="lessThan">
      <formula>-0.03</formula>
    </cfRule>
  </conditionalFormatting>
  <conditionalFormatting sqref="Y15">
    <cfRule type="cellIs" dxfId="885" priority="445" operator="greaterThan">
      <formula>0.03</formula>
    </cfRule>
    <cfRule type="cellIs" dxfId="884" priority="446" stopIfTrue="1" operator="lessThan">
      <formula>-0.03</formula>
    </cfRule>
  </conditionalFormatting>
  <conditionalFormatting sqref="Z15">
    <cfRule type="cellIs" dxfId="883" priority="443" operator="greaterThan">
      <formula>0.03</formula>
    </cfRule>
    <cfRule type="cellIs" dxfId="882" priority="444" stopIfTrue="1" operator="lessThan">
      <formula>-0.03</formula>
    </cfRule>
  </conditionalFormatting>
  <conditionalFormatting sqref="AA15">
    <cfRule type="cellIs" dxfId="881" priority="441" operator="greaterThan">
      <formula>0.03</formula>
    </cfRule>
    <cfRule type="cellIs" dxfId="880" priority="442" stopIfTrue="1" operator="lessThan">
      <formula>-0.03</formula>
    </cfRule>
  </conditionalFormatting>
  <conditionalFormatting sqref="Y19">
    <cfRule type="cellIs" dxfId="879" priority="439" operator="greaterThan">
      <formula>0.03</formula>
    </cfRule>
    <cfRule type="cellIs" dxfId="878" priority="440" stopIfTrue="1" operator="lessThan">
      <formula>-0.03</formula>
    </cfRule>
  </conditionalFormatting>
  <conditionalFormatting sqref="Z19">
    <cfRule type="cellIs" dxfId="877" priority="437" operator="greaterThan">
      <formula>0.03</formula>
    </cfRule>
    <cfRule type="cellIs" dxfId="876" priority="438" stopIfTrue="1" operator="lessThan">
      <formula>-0.03</formula>
    </cfRule>
  </conditionalFormatting>
  <conditionalFormatting sqref="AA19">
    <cfRule type="cellIs" dxfId="875" priority="435" operator="greaterThan">
      <formula>0.03</formula>
    </cfRule>
    <cfRule type="cellIs" dxfId="874" priority="436" stopIfTrue="1" operator="lessThan">
      <formula>-0.03</formula>
    </cfRule>
  </conditionalFormatting>
  <conditionalFormatting sqref="Z23">
    <cfRule type="cellIs" dxfId="873" priority="431" operator="greaterThan">
      <formula>0.03</formula>
    </cfRule>
    <cfRule type="cellIs" dxfId="872" priority="432" stopIfTrue="1" operator="lessThan">
      <formula>-0.03</formula>
    </cfRule>
  </conditionalFormatting>
  <conditionalFormatting sqref="AA23">
    <cfRule type="cellIs" dxfId="871" priority="429" operator="greaterThan">
      <formula>0.03</formula>
    </cfRule>
    <cfRule type="cellIs" dxfId="870" priority="430" stopIfTrue="1" operator="lessThan">
      <formula>-0.03</formula>
    </cfRule>
  </conditionalFormatting>
  <conditionalFormatting sqref="Y26:Z26">
    <cfRule type="cellIs" dxfId="869" priority="417" operator="greaterThan">
      <formula>0.03</formula>
    </cfRule>
    <cfRule type="cellIs" dxfId="868" priority="418" stopIfTrue="1" operator="lessThan">
      <formula>-0.03</formula>
    </cfRule>
  </conditionalFormatting>
  <conditionalFormatting sqref="Y18:Z18">
    <cfRule type="cellIs" dxfId="867" priority="421" operator="greaterThan">
      <formula>0.03</formula>
    </cfRule>
    <cfRule type="cellIs" dxfId="866" priority="422" stopIfTrue="1" operator="lessThan">
      <formula>-0.03</formula>
    </cfRule>
  </conditionalFormatting>
  <conditionalFormatting sqref="Y22:Z22">
    <cfRule type="cellIs" dxfId="865" priority="419" operator="greaterThan">
      <formula>0.03</formula>
    </cfRule>
    <cfRule type="cellIs" dxfId="864" priority="420" stopIfTrue="1" operator="lessThan">
      <formula>-0.03</formula>
    </cfRule>
  </conditionalFormatting>
  <conditionalFormatting sqref="V27:X30">
    <cfRule type="cellIs" dxfId="863" priority="373" operator="greaterThan">
      <formula>0.03</formula>
    </cfRule>
    <cfRule type="cellIs" dxfId="862" priority="374" stopIfTrue="1" operator="lessThan">
      <formula>-0.03</formula>
    </cfRule>
  </conditionalFormatting>
  <conditionalFormatting sqref="Y27">
    <cfRule type="cellIs" dxfId="861" priority="371" operator="greaterThan">
      <formula>0.03</formula>
    </cfRule>
    <cfRule type="cellIs" dxfId="860" priority="372" stopIfTrue="1" operator="lessThan">
      <formula>-0.03</formula>
    </cfRule>
  </conditionalFormatting>
  <conditionalFormatting sqref="Z27">
    <cfRule type="cellIs" dxfId="859" priority="369" operator="greaterThan">
      <formula>0.03</formula>
    </cfRule>
    <cfRule type="cellIs" dxfId="858" priority="370" stopIfTrue="1" operator="lessThan">
      <formula>-0.03</formula>
    </cfRule>
  </conditionalFormatting>
  <conditionalFormatting sqref="AA27">
    <cfRule type="cellIs" dxfId="857" priority="367" operator="greaterThan">
      <formula>0.03</formula>
    </cfRule>
    <cfRule type="cellIs" dxfId="856" priority="368" stopIfTrue="1" operator="lessThan">
      <formula>-0.03</formula>
    </cfRule>
  </conditionalFormatting>
  <conditionalFormatting sqref="Y30:Z30">
    <cfRule type="cellIs" dxfId="855" priority="365" operator="greaterThan">
      <formula>0.03</formula>
    </cfRule>
    <cfRule type="cellIs" dxfId="854" priority="366" stopIfTrue="1" operator="lessThan">
      <formula>-0.03</formula>
    </cfRule>
  </conditionalFormatting>
  <conditionalFormatting sqref="Y35">
    <cfRule type="cellIs" dxfId="853" priority="345" operator="greaterThan">
      <formula>0.03</formula>
    </cfRule>
    <cfRule type="cellIs" dxfId="852" priority="346" stopIfTrue="1" operator="lessThan">
      <formula>-0.03</formula>
    </cfRule>
  </conditionalFormatting>
  <conditionalFormatting sqref="V31:X38">
    <cfRule type="cellIs" dxfId="851" priority="353" operator="greaterThan">
      <formula>0.03</formula>
    </cfRule>
    <cfRule type="cellIs" dxfId="850" priority="354" stopIfTrue="1" operator="lessThan">
      <formula>-0.03</formula>
    </cfRule>
  </conditionalFormatting>
  <conditionalFormatting sqref="Y31">
    <cfRule type="cellIs" dxfId="849" priority="351" operator="greaterThan">
      <formula>0.03</formula>
    </cfRule>
    <cfRule type="cellIs" dxfId="848" priority="352" stopIfTrue="1" operator="lessThan">
      <formula>-0.03</formula>
    </cfRule>
  </conditionalFormatting>
  <conditionalFormatting sqref="Z31">
    <cfRule type="cellIs" dxfId="847" priority="349" operator="greaterThan">
      <formula>0.03</formula>
    </cfRule>
    <cfRule type="cellIs" dxfId="846" priority="350" stopIfTrue="1" operator="lessThan">
      <formula>-0.03</formula>
    </cfRule>
  </conditionalFormatting>
  <conditionalFormatting sqref="AA31">
    <cfRule type="cellIs" dxfId="845" priority="347" operator="greaterThan">
      <formula>0.03</formula>
    </cfRule>
    <cfRule type="cellIs" dxfId="844" priority="348" stopIfTrue="1" operator="lessThan">
      <formula>-0.03</formula>
    </cfRule>
  </conditionalFormatting>
  <conditionalFormatting sqref="Z35">
    <cfRule type="cellIs" dxfId="843" priority="343" operator="greaterThan">
      <formula>0.03</formula>
    </cfRule>
    <cfRule type="cellIs" dxfId="842" priority="344" stopIfTrue="1" operator="lessThan">
      <formula>-0.03</formula>
    </cfRule>
  </conditionalFormatting>
  <conditionalFormatting sqref="AA35">
    <cfRule type="cellIs" dxfId="841" priority="341" operator="greaterThan">
      <formula>0.03</formula>
    </cfRule>
    <cfRule type="cellIs" dxfId="840" priority="342" stopIfTrue="1" operator="lessThan">
      <formula>-0.03</formula>
    </cfRule>
  </conditionalFormatting>
  <conditionalFormatting sqref="Y38:Z38">
    <cfRule type="cellIs" dxfId="839" priority="337" operator="greaterThan">
      <formula>0.03</formula>
    </cfRule>
    <cfRule type="cellIs" dxfId="838" priority="338" stopIfTrue="1" operator="lessThan">
      <formula>-0.03</formula>
    </cfRule>
  </conditionalFormatting>
  <conditionalFormatting sqref="Y34:Z34">
    <cfRule type="cellIs" dxfId="837" priority="339" operator="greaterThan">
      <formula>0.03</formula>
    </cfRule>
    <cfRule type="cellIs" dxfId="836" priority="340" stopIfTrue="1" operator="lessThan">
      <formula>-0.03</formula>
    </cfRule>
  </conditionalFormatting>
  <conditionalFormatting sqref="Y43">
    <cfRule type="cellIs" dxfId="835" priority="307" operator="greaterThan">
      <formula>0.03</formula>
    </cfRule>
    <cfRule type="cellIs" dxfId="834" priority="308" stopIfTrue="1" operator="lessThan">
      <formula>-0.03</formula>
    </cfRule>
  </conditionalFormatting>
  <conditionalFormatting sqref="V39:X46">
    <cfRule type="cellIs" dxfId="833" priority="315" operator="greaterThan">
      <formula>0.03</formula>
    </cfRule>
    <cfRule type="cellIs" dxfId="832" priority="316" stopIfTrue="1" operator="lessThan">
      <formula>-0.03</formula>
    </cfRule>
  </conditionalFormatting>
  <conditionalFormatting sqref="Y39">
    <cfRule type="cellIs" dxfId="831" priority="313" operator="greaterThan">
      <formula>0.03</formula>
    </cfRule>
    <cfRule type="cellIs" dxfId="830" priority="314" stopIfTrue="1" operator="lessThan">
      <formula>-0.03</formula>
    </cfRule>
  </conditionalFormatting>
  <conditionalFormatting sqref="Z39">
    <cfRule type="cellIs" dxfId="829" priority="311" operator="greaterThan">
      <formula>0.03</formula>
    </cfRule>
    <cfRule type="cellIs" dxfId="828" priority="312" stopIfTrue="1" operator="lessThan">
      <formula>-0.03</formula>
    </cfRule>
  </conditionalFormatting>
  <conditionalFormatting sqref="AA39">
    <cfRule type="cellIs" dxfId="827" priority="309" operator="greaterThan">
      <formula>0.03</formula>
    </cfRule>
    <cfRule type="cellIs" dxfId="826" priority="310" stopIfTrue="1" operator="lessThan">
      <formula>-0.03</formula>
    </cfRule>
  </conditionalFormatting>
  <conditionalFormatting sqref="Z43">
    <cfRule type="cellIs" dxfId="825" priority="305" operator="greaterThan">
      <formula>0.03</formula>
    </cfRule>
    <cfRule type="cellIs" dxfId="824" priority="306" stopIfTrue="1" operator="lessThan">
      <formula>-0.03</formula>
    </cfRule>
  </conditionalFormatting>
  <conditionalFormatting sqref="AA43">
    <cfRule type="cellIs" dxfId="823" priority="303" operator="greaterThan">
      <formula>0.03</formula>
    </cfRule>
    <cfRule type="cellIs" dxfId="822" priority="304" stopIfTrue="1" operator="lessThan">
      <formula>-0.03</formula>
    </cfRule>
  </conditionalFormatting>
  <conditionalFormatting sqref="Y46:Z46">
    <cfRule type="cellIs" dxfId="821" priority="299" operator="greaterThan">
      <formula>0.03</formula>
    </cfRule>
    <cfRule type="cellIs" dxfId="820" priority="300" stopIfTrue="1" operator="lessThan">
      <formula>-0.03</formula>
    </cfRule>
  </conditionalFormatting>
  <conditionalFormatting sqref="Y42:Z42">
    <cfRule type="cellIs" dxfId="819" priority="301" operator="greaterThan">
      <formula>0.03</formula>
    </cfRule>
    <cfRule type="cellIs" dxfId="818" priority="302" stopIfTrue="1" operator="lessThan">
      <formula>-0.03</formula>
    </cfRule>
  </conditionalFormatting>
  <conditionalFormatting sqref="Y55">
    <cfRule type="cellIs" dxfId="817" priority="263" operator="greaterThan">
      <formula>0.03</formula>
    </cfRule>
    <cfRule type="cellIs" dxfId="816" priority="264" stopIfTrue="1" operator="lessThan">
      <formula>-0.03</formula>
    </cfRule>
  </conditionalFormatting>
  <conditionalFormatting sqref="V47:X62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Y47">
    <cfRule type="cellIs" dxfId="813" priority="275" operator="greaterThan">
      <formula>0.03</formula>
    </cfRule>
    <cfRule type="cellIs" dxfId="812" priority="276" stopIfTrue="1" operator="lessThan">
      <formula>-0.03</formula>
    </cfRule>
  </conditionalFormatting>
  <conditionalFormatting sqref="Z47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AA47">
    <cfRule type="cellIs" dxfId="809" priority="271" operator="greaterThan">
      <formula>0.03</formula>
    </cfRule>
    <cfRule type="cellIs" dxfId="808" priority="272" stopIfTrue="1" operator="lessThan">
      <formula>-0.03</formula>
    </cfRule>
  </conditionalFormatting>
  <conditionalFormatting sqref="Y51">
    <cfRule type="cellIs" dxfId="807" priority="269" operator="greaterThan">
      <formula>0.03</formula>
    </cfRule>
    <cfRule type="cellIs" dxfId="806" priority="270" stopIfTrue="1" operator="lessThan">
      <formula>-0.03</formula>
    </cfRule>
  </conditionalFormatting>
  <conditionalFormatting sqref="Z51">
    <cfRule type="cellIs" dxfId="805" priority="267" operator="greaterThan">
      <formula>0.03</formula>
    </cfRule>
    <cfRule type="cellIs" dxfId="804" priority="268" stopIfTrue="1" operator="lessThan">
      <formula>-0.03</formula>
    </cfRule>
  </conditionalFormatting>
  <conditionalFormatting sqref="AA51">
    <cfRule type="cellIs" dxfId="803" priority="265" operator="greaterThan">
      <formula>0.03</formula>
    </cfRule>
    <cfRule type="cellIs" dxfId="802" priority="266" stopIfTrue="1" operator="lessThan">
      <formula>-0.03</formula>
    </cfRule>
  </conditionalFormatting>
  <conditionalFormatting sqref="Z55">
    <cfRule type="cellIs" dxfId="801" priority="261" operator="greaterThan">
      <formula>0.03</formula>
    </cfRule>
    <cfRule type="cellIs" dxfId="800" priority="262" stopIfTrue="1" operator="lessThan">
      <formula>-0.03</formula>
    </cfRule>
  </conditionalFormatting>
  <conditionalFormatting sqref="AA55">
    <cfRule type="cellIs" dxfId="799" priority="259" operator="greaterThan">
      <formula>0.03</formula>
    </cfRule>
    <cfRule type="cellIs" dxfId="798" priority="260" stopIfTrue="1" operator="lessThan">
      <formula>-0.03</formula>
    </cfRule>
  </conditionalFormatting>
  <conditionalFormatting sqref="Y59">
    <cfRule type="cellIs" dxfId="797" priority="257" operator="greaterThan">
      <formula>0.03</formula>
    </cfRule>
    <cfRule type="cellIs" dxfId="796" priority="258" stopIfTrue="1" operator="lessThan">
      <formula>-0.03</formula>
    </cfRule>
  </conditionalFormatting>
  <conditionalFormatting sqref="Z59">
    <cfRule type="cellIs" dxfId="795" priority="255" operator="greaterThan">
      <formula>0.03</formula>
    </cfRule>
    <cfRule type="cellIs" dxfId="794" priority="256" stopIfTrue="1" operator="lessThan">
      <formula>-0.03</formula>
    </cfRule>
  </conditionalFormatting>
  <conditionalFormatting sqref="AA59">
    <cfRule type="cellIs" dxfId="793" priority="253" operator="greaterThan">
      <formula>0.03</formula>
    </cfRule>
    <cfRule type="cellIs" dxfId="792" priority="254" stopIfTrue="1" operator="lessThan">
      <formula>-0.03</formula>
    </cfRule>
  </conditionalFormatting>
  <conditionalFormatting sqref="Y58:Z58">
    <cfRule type="cellIs" dxfId="791" priority="247" operator="greaterThan">
      <formula>0.03</formula>
    </cfRule>
    <cfRule type="cellIs" dxfId="790" priority="248" stopIfTrue="1" operator="lessThan">
      <formula>-0.03</formula>
    </cfRule>
  </conditionalFormatting>
  <conditionalFormatting sqref="Y50:Z50">
    <cfRule type="cellIs" dxfId="789" priority="251" operator="greaterThan">
      <formula>0.03</formula>
    </cfRule>
    <cfRule type="cellIs" dxfId="788" priority="252" stopIfTrue="1" operator="lessThan">
      <formula>-0.03</formula>
    </cfRule>
  </conditionalFormatting>
  <conditionalFormatting sqref="Y54:Z54">
    <cfRule type="cellIs" dxfId="787" priority="249" operator="greaterThan">
      <formula>0.03</formula>
    </cfRule>
    <cfRule type="cellIs" dxfId="786" priority="250" stopIfTrue="1" operator="lessThan">
      <formula>-0.03</formula>
    </cfRule>
  </conditionalFormatting>
  <conditionalFormatting sqref="Y62:Z62">
    <cfRule type="cellIs" dxfId="785" priority="245" operator="greaterThan">
      <formula>0.03</formula>
    </cfRule>
    <cfRule type="cellIs" dxfId="784" priority="246" stopIfTrue="1" operator="lessThan">
      <formula>-0.03</formula>
    </cfRule>
  </conditionalFormatting>
  <conditionalFormatting sqref="Y71">
    <cfRule type="cellIs" dxfId="783" priority="189" operator="greaterThan">
      <formula>0.03</formula>
    </cfRule>
    <cfRule type="cellIs" dxfId="782" priority="190" stopIfTrue="1" operator="lessThan">
      <formula>-0.03</formula>
    </cfRule>
  </conditionalFormatting>
  <conditionalFormatting sqref="V63:X78">
    <cfRule type="cellIs" dxfId="781" priority="203" operator="greaterThan">
      <formula>0.03</formula>
    </cfRule>
    <cfRule type="cellIs" dxfId="780" priority="204" stopIfTrue="1" operator="lessThan">
      <formula>-0.03</formula>
    </cfRule>
  </conditionalFormatting>
  <conditionalFormatting sqref="Y63">
    <cfRule type="cellIs" dxfId="779" priority="201" operator="greaterThan">
      <formula>0.03</formula>
    </cfRule>
    <cfRule type="cellIs" dxfId="778" priority="202" stopIfTrue="1" operator="lessThan">
      <formula>-0.03</formula>
    </cfRule>
  </conditionalFormatting>
  <conditionalFormatting sqref="Z63">
    <cfRule type="cellIs" dxfId="777" priority="199" operator="greaterThan">
      <formula>0.03</formula>
    </cfRule>
    <cfRule type="cellIs" dxfId="776" priority="200" stopIfTrue="1" operator="lessThan">
      <formula>-0.03</formula>
    </cfRule>
  </conditionalFormatting>
  <conditionalFormatting sqref="AA63">
    <cfRule type="cellIs" dxfId="775" priority="197" operator="greaterThan">
      <formula>0.03</formula>
    </cfRule>
    <cfRule type="cellIs" dxfId="774" priority="198" stopIfTrue="1" operator="lessThan">
      <formula>-0.03</formula>
    </cfRule>
  </conditionalFormatting>
  <conditionalFormatting sqref="Y67">
    <cfRule type="cellIs" dxfId="773" priority="195" operator="greaterThan">
      <formula>0.03</formula>
    </cfRule>
    <cfRule type="cellIs" dxfId="772" priority="196" stopIfTrue="1" operator="lessThan">
      <formula>-0.03</formula>
    </cfRule>
  </conditionalFormatting>
  <conditionalFormatting sqref="Z67">
    <cfRule type="cellIs" dxfId="771" priority="193" operator="greaterThan">
      <formula>0.03</formula>
    </cfRule>
    <cfRule type="cellIs" dxfId="770" priority="194" stopIfTrue="1" operator="lessThan">
      <formula>-0.03</formula>
    </cfRule>
  </conditionalFormatting>
  <conditionalFormatting sqref="AA67">
    <cfRule type="cellIs" dxfId="769" priority="191" operator="greaterThan">
      <formula>0.03</formula>
    </cfRule>
    <cfRule type="cellIs" dxfId="768" priority="192" stopIfTrue="1" operator="lessThan">
      <formula>-0.03</formula>
    </cfRule>
  </conditionalFormatting>
  <conditionalFormatting sqref="Z71">
    <cfRule type="cellIs" dxfId="767" priority="187" operator="greaterThan">
      <formula>0.03</formula>
    </cfRule>
    <cfRule type="cellIs" dxfId="766" priority="188" stopIfTrue="1" operator="lessThan">
      <formula>-0.03</formula>
    </cfRule>
  </conditionalFormatting>
  <conditionalFormatting sqref="AA71">
    <cfRule type="cellIs" dxfId="765" priority="185" operator="greaterThan">
      <formula>0.03</formula>
    </cfRule>
    <cfRule type="cellIs" dxfId="764" priority="186" stopIfTrue="1" operator="lessThan">
      <formula>-0.03</formula>
    </cfRule>
  </conditionalFormatting>
  <conditionalFormatting sqref="Y75">
    <cfRule type="cellIs" dxfId="763" priority="183" operator="greaterThan">
      <formula>0.03</formula>
    </cfRule>
    <cfRule type="cellIs" dxfId="762" priority="184" stopIfTrue="1" operator="lessThan">
      <formula>-0.03</formula>
    </cfRule>
  </conditionalFormatting>
  <conditionalFormatting sqref="Z75">
    <cfRule type="cellIs" dxfId="761" priority="181" operator="greaterThan">
      <formula>0.03</formula>
    </cfRule>
    <cfRule type="cellIs" dxfId="760" priority="182" stopIfTrue="1" operator="lessThan">
      <formula>-0.03</formula>
    </cfRule>
  </conditionalFormatting>
  <conditionalFormatting sqref="AA75">
    <cfRule type="cellIs" dxfId="759" priority="179" operator="greaterThan">
      <formula>0.03</formula>
    </cfRule>
    <cfRule type="cellIs" dxfId="758" priority="180" stopIfTrue="1" operator="lessThan">
      <formula>-0.03</formula>
    </cfRule>
  </conditionalFormatting>
  <conditionalFormatting sqref="Y74:Z74">
    <cfRule type="cellIs" dxfId="757" priority="173" operator="greaterThan">
      <formula>0.03</formula>
    </cfRule>
    <cfRule type="cellIs" dxfId="756" priority="174" stopIfTrue="1" operator="lessThan">
      <formula>-0.03</formula>
    </cfRule>
  </conditionalFormatting>
  <conditionalFormatting sqref="Y66:Z66">
    <cfRule type="cellIs" dxfId="755" priority="177" operator="greaterThan">
      <formula>0.03</formula>
    </cfRule>
    <cfRule type="cellIs" dxfId="754" priority="178" stopIfTrue="1" operator="lessThan">
      <formula>-0.03</formula>
    </cfRule>
  </conditionalFormatting>
  <conditionalFormatting sqref="Y70:Z70">
    <cfRule type="cellIs" dxfId="753" priority="175" operator="greaterThan">
      <formula>0.03</formula>
    </cfRule>
    <cfRule type="cellIs" dxfId="752" priority="176" stopIfTrue="1" operator="lessThan">
      <formula>-0.03</formula>
    </cfRule>
  </conditionalFormatting>
  <conditionalFormatting sqref="Y78:Z78">
    <cfRule type="cellIs" dxfId="751" priority="171" operator="greaterThan">
      <formula>0.03</formula>
    </cfRule>
    <cfRule type="cellIs" dxfId="750" priority="172" stopIfTrue="1" operator="lessThan">
      <formula>-0.03</formula>
    </cfRule>
  </conditionalFormatting>
  <conditionalFormatting sqref="Y99">
    <cfRule type="cellIs" dxfId="749" priority="115" operator="greaterThan">
      <formula>0.03</formula>
    </cfRule>
    <cfRule type="cellIs" dxfId="748" priority="116" stopIfTrue="1" operator="lessThan">
      <formula>-0.03</formula>
    </cfRule>
  </conditionalFormatting>
  <conditionalFormatting sqref="V91:X106">
    <cfRule type="cellIs" dxfId="747" priority="129" operator="greaterThan">
      <formula>0.03</formula>
    </cfRule>
    <cfRule type="cellIs" dxfId="746" priority="130" stopIfTrue="1" operator="lessThan">
      <formula>-0.03</formula>
    </cfRule>
  </conditionalFormatting>
  <conditionalFormatting sqref="Y91">
    <cfRule type="cellIs" dxfId="745" priority="127" operator="greaterThan">
      <formula>0.03</formula>
    </cfRule>
    <cfRule type="cellIs" dxfId="744" priority="128" stopIfTrue="1" operator="lessThan">
      <formula>-0.03</formula>
    </cfRule>
  </conditionalFormatting>
  <conditionalFormatting sqref="Z91">
    <cfRule type="cellIs" dxfId="743" priority="125" operator="greaterThan">
      <formula>0.03</formula>
    </cfRule>
    <cfRule type="cellIs" dxfId="742" priority="126" stopIfTrue="1" operator="lessThan">
      <formula>-0.03</formula>
    </cfRule>
  </conditionalFormatting>
  <conditionalFormatting sqref="AA91">
    <cfRule type="cellIs" dxfId="741" priority="123" operator="greaterThan">
      <formula>0.03</formula>
    </cfRule>
    <cfRule type="cellIs" dxfId="740" priority="124" stopIfTrue="1" operator="lessThan">
      <formula>-0.03</formula>
    </cfRule>
  </conditionalFormatting>
  <conditionalFormatting sqref="Y95">
    <cfRule type="cellIs" dxfId="739" priority="121" operator="greaterThan">
      <formula>0.03</formula>
    </cfRule>
    <cfRule type="cellIs" dxfId="738" priority="122" stopIfTrue="1" operator="lessThan">
      <formula>-0.03</formula>
    </cfRule>
  </conditionalFormatting>
  <conditionalFormatting sqref="Z95">
    <cfRule type="cellIs" dxfId="737" priority="119" operator="greaterThan">
      <formula>0.03</formula>
    </cfRule>
    <cfRule type="cellIs" dxfId="736" priority="120" stopIfTrue="1" operator="lessThan">
      <formula>-0.03</formula>
    </cfRule>
  </conditionalFormatting>
  <conditionalFormatting sqref="AA95">
    <cfRule type="cellIs" dxfId="735" priority="117" operator="greaterThan">
      <formula>0.03</formula>
    </cfRule>
    <cfRule type="cellIs" dxfId="734" priority="118" stopIfTrue="1" operator="lessThan">
      <formula>-0.03</formula>
    </cfRule>
  </conditionalFormatting>
  <conditionalFormatting sqref="Z99">
    <cfRule type="cellIs" dxfId="733" priority="113" operator="greaterThan">
      <formula>0.03</formula>
    </cfRule>
    <cfRule type="cellIs" dxfId="732" priority="114" stopIfTrue="1" operator="lessThan">
      <formula>-0.03</formula>
    </cfRule>
  </conditionalFormatting>
  <conditionalFormatting sqref="AA99">
    <cfRule type="cellIs" dxfId="731" priority="111" operator="greaterThan">
      <formula>0.03</formula>
    </cfRule>
    <cfRule type="cellIs" dxfId="730" priority="112" stopIfTrue="1" operator="lessThan">
      <formula>-0.03</formula>
    </cfRule>
  </conditionalFormatting>
  <conditionalFormatting sqref="Y102:Z102">
    <cfRule type="cellIs" dxfId="729" priority="99" operator="greaterThan">
      <formula>0.03</formula>
    </cfRule>
    <cfRule type="cellIs" dxfId="728" priority="100" stopIfTrue="1" operator="lessThan">
      <formula>-0.03</formula>
    </cfRule>
  </conditionalFormatting>
  <conditionalFormatting sqref="Y98:Z98">
    <cfRule type="cellIs" dxfId="727" priority="101" operator="greaterThan">
      <formula>0.03</formula>
    </cfRule>
    <cfRule type="cellIs" dxfId="726" priority="102" stopIfTrue="1" operator="lessThan">
      <formula>-0.03</formula>
    </cfRule>
  </conditionalFormatting>
  <conditionalFormatting sqref="Y106:Z106">
    <cfRule type="cellIs" dxfId="725" priority="97" operator="greaterThan">
      <formula>0.03</formula>
    </cfRule>
    <cfRule type="cellIs" dxfId="72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117"/>
  <sheetViews>
    <sheetView zoomScaleNormal="100" workbookViewId="0">
      <selection activeCell="V55" sqref="V55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33" t="s">
        <v>59</v>
      </c>
      <c r="E1" s="134"/>
      <c r="F1" s="134"/>
      <c r="G1" s="134"/>
      <c r="H1" s="134"/>
      <c r="I1" s="134"/>
      <c r="J1" s="135"/>
      <c r="L1" s="133" t="s">
        <v>60</v>
      </c>
      <c r="M1" s="134"/>
      <c r="N1" s="134"/>
      <c r="O1" s="134"/>
      <c r="P1" s="134"/>
      <c r="Q1" s="134"/>
      <c r="R1" s="135"/>
      <c r="S1" s="27"/>
      <c r="T1" s="27"/>
      <c r="U1" s="5"/>
      <c r="V1" s="133" t="s">
        <v>61</v>
      </c>
      <c r="W1" s="134"/>
      <c r="X1" s="135"/>
      <c r="Y1" s="133" t="s">
        <v>62</v>
      </c>
      <c r="Z1" s="134"/>
      <c r="AA1" s="135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>
        <f>Reference!B105</f>
        <v>19345.331399999999</v>
      </c>
      <c r="E3" s="10">
        <f>Reference!C105</f>
        <v>49.416600000000003</v>
      </c>
      <c r="F3" s="10">
        <f>Reference!D105</f>
        <v>47.951999999999998</v>
      </c>
      <c r="G3" s="10">
        <f>Reference!E105</f>
        <v>43.119</v>
      </c>
      <c r="H3" s="10">
        <f>Reference!F105</f>
        <v>101048.07</v>
      </c>
      <c r="I3" s="10">
        <f>Reference!G105</f>
        <v>32.97</v>
      </c>
      <c r="J3" s="11">
        <f t="shared" ref="J3:J34" si="0">H3/3600</f>
        <v>28.068908333333336</v>
      </c>
      <c r="L3" s="9">
        <f>Test!B105</f>
        <v>18929.245900000002</v>
      </c>
      <c r="M3" s="10">
        <f>Test!C105</f>
        <v>49.557099999999998</v>
      </c>
      <c r="N3" s="10">
        <f>Test!D105</f>
        <v>48.3994</v>
      </c>
      <c r="O3" s="10">
        <f>Test!E105</f>
        <v>43.148299999999999</v>
      </c>
      <c r="P3" s="10">
        <f>Test!F105</f>
        <v>100151.84</v>
      </c>
      <c r="Q3" s="10">
        <f>Test!G105</f>
        <v>32.700000000000003</v>
      </c>
      <c r="R3" s="11">
        <f t="shared" ref="R3:R34" si="1">P3/3600</f>
        <v>27.819955555555556</v>
      </c>
      <c r="S3" s="10">
        <f t="shared" ref="S3:S34" si="2">P3/H3</f>
        <v>0.99113065692397673</v>
      </c>
      <c r="T3" s="10">
        <f t="shared" ref="T3:T34" si="3">Q3/I3</f>
        <v>0.99181073703366707</v>
      </c>
      <c r="U3" s="47"/>
      <c r="V3" s="30">
        <f>bdrate($D3:$D6,E3:E6,$L3:$L6,M3:M6)</f>
        <v>-0.32340574196866834</v>
      </c>
      <c r="W3" s="35">
        <f>bdrate($D3:$D6,F3:F6,$L3:$L6,N3:N6)</f>
        <v>-0.32724369234975503</v>
      </c>
      <c r="X3" s="36">
        <f>bdrate($D3:$D6,G3:G6,$L3:$L6,O3:O6)</f>
        <v>-7.1526724051375501E-2</v>
      </c>
      <c r="Y3" s="30">
        <f>bdrateOld($D3:$D6,E3:E6,$L3:$L6,M3:M6)</f>
        <v>-0.3152249138822476</v>
      </c>
      <c r="Z3" s="35">
        <f>bdrateOld($D3:$D6,F3:F6,$L3:$L6,N3:N6)</f>
        <v>-0.32030876799130437</v>
      </c>
      <c r="AA3" s="36">
        <f>bdrateOld($D3:$D6,G3:G6,$L3:$L6,O3:O6)</f>
        <v>-7.1518353317406413E-2</v>
      </c>
    </row>
    <row r="4" spans="1:27" x14ac:dyDescent="0.2">
      <c r="A4" s="25" t="s">
        <v>69</v>
      </c>
      <c r="B4" s="25"/>
      <c r="C4" s="25">
        <v>27</v>
      </c>
      <c r="D4" s="12">
        <f>Reference!B106</f>
        <v>5636.5183999999999</v>
      </c>
      <c r="E4" s="13">
        <f>Reference!C106</f>
        <v>48.107399999999998</v>
      </c>
      <c r="F4" s="13">
        <f>Reference!D106</f>
        <v>46.118499999999997</v>
      </c>
      <c r="G4" s="13">
        <f>Reference!E106</f>
        <v>41.515799999999999</v>
      </c>
      <c r="H4" s="13">
        <f>Reference!F106</f>
        <v>41460.04</v>
      </c>
      <c r="I4" s="13">
        <f>Reference!G106</f>
        <v>24.41</v>
      </c>
      <c r="J4" s="14">
        <f t="shared" si="0"/>
        <v>11.516677777777778</v>
      </c>
      <c r="L4" s="12">
        <f>Test!B106</f>
        <v>5409.9503000000004</v>
      </c>
      <c r="M4" s="13">
        <f>Test!C106</f>
        <v>48.596200000000003</v>
      </c>
      <c r="N4" s="13">
        <f>Test!D106</f>
        <v>46.802300000000002</v>
      </c>
      <c r="O4" s="13">
        <f>Test!E106</f>
        <v>41.57</v>
      </c>
      <c r="P4" s="13">
        <f>Test!F106</f>
        <v>41476.04</v>
      </c>
      <c r="Q4" s="13">
        <f>Test!G106</f>
        <v>24.75</v>
      </c>
      <c r="R4" s="14">
        <f t="shared" si="1"/>
        <v>11.521122222222223</v>
      </c>
      <c r="S4" s="13">
        <f t="shared" si="2"/>
        <v>1.0003859137617812</v>
      </c>
      <c r="T4" s="13">
        <f t="shared" si="3"/>
        <v>1.0139287177386318</v>
      </c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>
        <f>Reference!B107</f>
        <v>3161.5329999999999</v>
      </c>
      <c r="E5" s="13">
        <f>Reference!C107</f>
        <v>46.873100000000001</v>
      </c>
      <c r="F5" s="13">
        <f>Reference!D107</f>
        <v>44.528500000000001</v>
      </c>
      <c r="G5" s="13">
        <f>Reference!E107</f>
        <v>40.627299999999998</v>
      </c>
      <c r="H5" s="13">
        <f>Reference!F107</f>
        <v>17015.32</v>
      </c>
      <c r="I5" s="13">
        <f>Reference!G107</f>
        <v>23.09</v>
      </c>
      <c r="J5" s="14">
        <f t="shared" si="0"/>
        <v>4.7264777777777773</v>
      </c>
      <c r="L5" s="12">
        <f>Test!B107</f>
        <v>3039.6210999999998</v>
      </c>
      <c r="M5" s="13">
        <f>Test!C107</f>
        <v>47.642000000000003</v>
      </c>
      <c r="N5" s="13">
        <f>Test!D107</f>
        <v>45.439</v>
      </c>
      <c r="O5" s="13">
        <f>Test!E107</f>
        <v>40.711199999999998</v>
      </c>
      <c r="P5" s="13">
        <f>Test!F107</f>
        <v>17090.45</v>
      </c>
      <c r="Q5" s="13">
        <f>Test!G107</f>
        <v>22.68</v>
      </c>
      <c r="R5" s="14">
        <f t="shared" si="1"/>
        <v>4.7473472222222224</v>
      </c>
      <c r="S5" s="13">
        <f t="shared" si="2"/>
        <v>1.0044154326806667</v>
      </c>
      <c r="T5" s="13">
        <f t="shared" si="3"/>
        <v>0.98224339540926808</v>
      </c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>
        <f>Reference!B108</f>
        <v>1891.4692</v>
      </c>
      <c r="E6" s="17">
        <f>Reference!C108</f>
        <v>45.79</v>
      </c>
      <c r="F6" s="17">
        <f>Reference!D108</f>
        <v>43.240400000000001</v>
      </c>
      <c r="G6" s="17">
        <f>Reference!E108</f>
        <v>39.433999999999997</v>
      </c>
      <c r="H6" s="17">
        <f>Reference!F108</f>
        <v>5915.64</v>
      </c>
      <c r="I6" s="17">
        <f>Reference!G108</f>
        <v>20.49</v>
      </c>
      <c r="J6" s="18">
        <f t="shared" si="0"/>
        <v>1.6432333333333333</v>
      </c>
      <c r="L6" s="16">
        <f>Test!B108</f>
        <v>1818.7297000000001</v>
      </c>
      <c r="M6" s="17">
        <f>Test!C108</f>
        <v>46.709400000000002</v>
      </c>
      <c r="N6" s="17">
        <f>Test!D108</f>
        <v>44.148899999999998</v>
      </c>
      <c r="O6" s="17">
        <f>Test!E108</f>
        <v>39.525100000000002</v>
      </c>
      <c r="P6" s="17">
        <f>Test!F108</f>
        <v>5799.28</v>
      </c>
      <c r="Q6" s="17">
        <f>Test!G108</f>
        <v>20.02</v>
      </c>
      <c r="R6" s="18">
        <f t="shared" si="1"/>
        <v>1.610911111111111</v>
      </c>
      <c r="S6" s="13">
        <f t="shared" si="2"/>
        <v>0.98033010798493481</v>
      </c>
      <c r="T6" s="13">
        <f t="shared" si="3"/>
        <v>0.97706198145436807</v>
      </c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>
        <f>Reference!B109</f>
        <v>15738.5211</v>
      </c>
      <c r="E7" s="10">
        <f>Reference!C109</f>
        <v>49.531999999999996</v>
      </c>
      <c r="F7" s="10">
        <f>Reference!D109</f>
        <v>50.048099999999998</v>
      </c>
      <c r="G7" s="10">
        <f>Reference!E109</f>
        <v>46.04</v>
      </c>
      <c r="H7" s="10">
        <f>Reference!F109</f>
        <v>66349.850000000006</v>
      </c>
      <c r="I7" s="10">
        <f>Reference!G109</f>
        <v>32.64</v>
      </c>
      <c r="J7" s="11">
        <f t="shared" si="0"/>
        <v>18.430513888888889</v>
      </c>
      <c r="L7" s="9">
        <f>Test!B109</f>
        <v>15423.3663</v>
      </c>
      <c r="M7" s="10">
        <f>Test!C109</f>
        <v>49.740600000000001</v>
      </c>
      <c r="N7" s="10">
        <f>Test!D109</f>
        <v>50.5197</v>
      </c>
      <c r="O7" s="10">
        <f>Test!E109</f>
        <v>46.101199999999999</v>
      </c>
      <c r="P7" s="10">
        <f>Test!F109</f>
        <v>66879.649999999994</v>
      </c>
      <c r="Q7" s="10">
        <f>Test!G109</f>
        <v>30.02</v>
      </c>
      <c r="R7" s="11">
        <f t="shared" si="1"/>
        <v>18.577680555555553</v>
      </c>
      <c r="S7" s="13">
        <f t="shared" si="2"/>
        <v>1.0079849464618231</v>
      </c>
      <c r="T7" s="13">
        <f t="shared" si="3"/>
        <v>0.9197303921568627</v>
      </c>
      <c r="U7" s="48"/>
      <c r="V7" s="30">
        <f>bdrate($D7:$D10,E7:E10,$L7:$L10,M7:M10)</f>
        <v>-0.12626806443874661</v>
      </c>
      <c r="W7" s="35">
        <f>bdrate($D7:$D10,F7:F10,$L7:$L10,N7:N10)</f>
        <v>-0.17255858017953352</v>
      </c>
      <c r="X7" s="35">
        <f>bdrate($D7:$D10,G7:G10,$L7:$L10,O7:O10)</f>
        <v>-4.2958944263363219E-2</v>
      </c>
      <c r="Y7" s="33">
        <f>bdrateOld($D7:$D10,E7:E10,$L7:$L10,M7:M10)</f>
        <v>-0.12549874781164605</v>
      </c>
      <c r="Z7" s="37">
        <f>bdrateOld($D7:$D10,F7:F10,$L7:$L10,N7:N10)</f>
        <v>-0.17116448666787942</v>
      </c>
      <c r="AA7" s="38">
        <f>bdrateOld($D7:$D10,G7:G10,$L7:$L10,O7:O10)</f>
        <v>-4.2834564955451682E-2</v>
      </c>
    </row>
    <row r="8" spans="1:27" x14ac:dyDescent="0.2">
      <c r="A8" s="25"/>
      <c r="B8" s="25"/>
      <c r="C8" s="25">
        <v>27</v>
      </c>
      <c r="D8" s="12">
        <f>Reference!B110</f>
        <v>8609.3194999999996</v>
      </c>
      <c r="E8" s="13">
        <f>Reference!C110</f>
        <v>47.268900000000002</v>
      </c>
      <c r="F8" s="13">
        <f>Reference!D110</f>
        <v>47.684600000000003</v>
      </c>
      <c r="G8" s="13">
        <f>Reference!E110</f>
        <v>44.0745</v>
      </c>
      <c r="H8" s="13">
        <f>Reference!F110</f>
        <v>32005.51</v>
      </c>
      <c r="I8" s="13">
        <f>Reference!G110</f>
        <v>28.53</v>
      </c>
      <c r="J8" s="14">
        <f t="shared" si="0"/>
        <v>8.8904194444444435</v>
      </c>
      <c r="L8" s="12">
        <f>Test!B110</f>
        <v>8433.7736999999997</v>
      </c>
      <c r="M8" s="13">
        <f>Test!C110</f>
        <v>47.625100000000003</v>
      </c>
      <c r="N8" s="13">
        <f>Test!D110</f>
        <v>48.274799999999999</v>
      </c>
      <c r="O8" s="13">
        <f>Test!E110</f>
        <v>44.167999999999999</v>
      </c>
      <c r="P8" s="13">
        <f>Test!F110</f>
        <v>32327.55</v>
      </c>
      <c r="Q8" s="13">
        <f>Test!G110</f>
        <v>27.81</v>
      </c>
      <c r="R8" s="14">
        <f t="shared" si="1"/>
        <v>8.9798749999999998</v>
      </c>
      <c r="S8" s="13">
        <f t="shared" si="2"/>
        <v>1.010062017446371</v>
      </c>
      <c r="T8" s="13">
        <f t="shared" si="3"/>
        <v>0.97476340694006303</v>
      </c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>
        <f>Reference!B111</f>
        <v>5134.5457999999999</v>
      </c>
      <c r="E9" s="13">
        <f>Reference!C111</f>
        <v>45.431199999999997</v>
      </c>
      <c r="F9" s="13">
        <f>Reference!D111</f>
        <v>45.748100000000001</v>
      </c>
      <c r="G9" s="13">
        <f>Reference!E111</f>
        <v>41.995199999999997</v>
      </c>
      <c r="H9" s="13">
        <f>Reference!F111</f>
        <v>19331.11</v>
      </c>
      <c r="I9" s="13">
        <f>Reference!G111</f>
        <v>25.53</v>
      </c>
      <c r="J9" s="14">
        <f t="shared" si="0"/>
        <v>5.3697527777777783</v>
      </c>
      <c r="L9" s="12">
        <f>Test!B111</f>
        <v>5036.0289000000002</v>
      </c>
      <c r="M9" s="13">
        <f>Test!C111</f>
        <v>45.882199999999997</v>
      </c>
      <c r="N9" s="13">
        <f>Test!D111</f>
        <v>46.3947</v>
      </c>
      <c r="O9" s="13">
        <f>Test!E111</f>
        <v>42.101799999999997</v>
      </c>
      <c r="P9" s="13">
        <f>Test!F111</f>
        <v>19584.21</v>
      </c>
      <c r="Q9" s="13">
        <f>Test!G111</f>
        <v>24.36</v>
      </c>
      <c r="R9" s="14">
        <f t="shared" si="1"/>
        <v>5.440058333333333</v>
      </c>
      <c r="S9" s="13">
        <f t="shared" si="2"/>
        <v>1.0130928849921188</v>
      </c>
      <c r="T9" s="13">
        <f t="shared" si="3"/>
        <v>0.95417156286721494</v>
      </c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>
        <f>Reference!B112</f>
        <v>3053.1552999999999</v>
      </c>
      <c r="E10" s="17">
        <f>Reference!C112</f>
        <v>44.019100000000002</v>
      </c>
      <c r="F10" s="17">
        <f>Reference!D112</f>
        <v>44.244999999999997</v>
      </c>
      <c r="G10" s="17">
        <f>Reference!E112</f>
        <v>39.615000000000002</v>
      </c>
      <c r="H10" s="17">
        <f>Reference!F112</f>
        <v>9293.5300000000007</v>
      </c>
      <c r="I10" s="17">
        <f>Reference!G112</f>
        <v>22.98</v>
      </c>
      <c r="J10" s="18">
        <f t="shared" si="0"/>
        <v>2.5815361111111113</v>
      </c>
      <c r="L10" s="16">
        <f>Test!B112</f>
        <v>2991.5574000000001</v>
      </c>
      <c r="M10" s="17">
        <f>Test!C112</f>
        <v>44.520200000000003</v>
      </c>
      <c r="N10" s="17">
        <f>Test!D112</f>
        <v>44.872900000000001</v>
      </c>
      <c r="O10" s="17">
        <f>Test!E112</f>
        <v>39.7057</v>
      </c>
      <c r="P10" s="17">
        <f>Test!F112</f>
        <v>9432.86</v>
      </c>
      <c r="Q10" s="17">
        <f>Test!G112</f>
        <v>22.65</v>
      </c>
      <c r="R10" s="18">
        <f t="shared" si="1"/>
        <v>2.6202388888888892</v>
      </c>
      <c r="S10" s="13">
        <f t="shared" si="2"/>
        <v>1.014992150453057</v>
      </c>
      <c r="T10" s="13">
        <f t="shared" si="3"/>
        <v>0.98563968668407298</v>
      </c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>
        <f>Reference!B113</f>
        <v>23410.125800000002</v>
      </c>
      <c r="E11" s="10">
        <f>Reference!C113</f>
        <v>44.232700000000001</v>
      </c>
      <c r="F11" s="10">
        <f>Reference!D113</f>
        <v>43.620899999999999</v>
      </c>
      <c r="G11" s="10">
        <f>Reference!E113</f>
        <v>43.563400000000001</v>
      </c>
      <c r="H11" s="10">
        <f>Reference!F113</f>
        <v>93038.44</v>
      </c>
      <c r="I11" s="10">
        <f>Reference!G113</f>
        <v>47.86</v>
      </c>
      <c r="J11" s="11">
        <f t="shared" si="0"/>
        <v>25.844011111111111</v>
      </c>
      <c r="L11" s="9">
        <f>Test!B113</f>
        <v>21484.8766</v>
      </c>
      <c r="M11" s="10">
        <f>Test!C113</f>
        <v>46.048999999999999</v>
      </c>
      <c r="N11" s="10">
        <f>Test!D113</f>
        <v>43.876800000000003</v>
      </c>
      <c r="O11" s="10">
        <f>Test!E113</f>
        <v>43.823399999999999</v>
      </c>
      <c r="P11" s="10">
        <f>Test!F113</f>
        <v>89883.69</v>
      </c>
      <c r="Q11" s="10">
        <f>Test!G113</f>
        <v>40.94</v>
      </c>
      <c r="R11" s="11">
        <f t="shared" si="1"/>
        <v>24.967691666666667</v>
      </c>
      <c r="S11" s="13">
        <f t="shared" si="2"/>
        <v>0.96609197230736032</v>
      </c>
      <c r="T11" s="13">
        <f t="shared" si="3"/>
        <v>0.85541161721688252</v>
      </c>
      <c r="U11" s="48"/>
      <c r="V11" s="30">
        <f>bdrate($D11:$D14,E11:E14,$L11:$L14,M11:M14)</f>
        <v>-0.43657120333334132</v>
      </c>
      <c r="W11" s="35">
        <f>bdrate($D11:$D14,F11:F14,$L11:$L14,N11:N14)</f>
        <v>-0.33534220973471063</v>
      </c>
      <c r="X11" s="35">
        <f>bdrate($D11:$D14,G11:G14,$L11:$L14,O11:O14)</f>
        <v>-0.17911889113304924</v>
      </c>
      <c r="Y11" s="33">
        <f>bdrateOld($D11:$D14,E11:E14,$L11:$L14,M11:M14)</f>
        <v>-0.44680029856015835</v>
      </c>
      <c r="Z11" s="37">
        <f>bdrateOld($D11:$D14,F11:F14,$L11:$L14,N11:N14)</f>
        <v>-0.33575454900302226</v>
      </c>
      <c r="AA11" s="38">
        <f>bdrateOld($D11:$D14,G11:G14,$L11:$L14,O11:O14)</f>
        <v>-0.17727763706303568</v>
      </c>
    </row>
    <row r="12" spans="1:27" x14ac:dyDescent="0.2">
      <c r="A12" s="25"/>
      <c r="B12" s="25"/>
      <c r="C12" s="25">
        <v>27</v>
      </c>
      <c r="D12" s="12">
        <f>Reference!B114</f>
        <v>10529.1497</v>
      </c>
      <c r="E12" s="13">
        <f>Reference!C114</f>
        <v>40.652500000000003</v>
      </c>
      <c r="F12" s="13">
        <f>Reference!D114</f>
        <v>41.368000000000002</v>
      </c>
      <c r="G12" s="13">
        <f>Reference!E114</f>
        <v>40.266500000000001</v>
      </c>
      <c r="H12" s="13">
        <f>Reference!F114</f>
        <v>62168.07</v>
      </c>
      <c r="I12" s="13">
        <f>Reference!G114</f>
        <v>35.07</v>
      </c>
      <c r="J12" s="14">
        <f t="shared" si="0"/>
        <v>17.268908333333332</v>
      </c>
      <c r="L12" s="12">
        <f>Test!B114</f>
        <v>9540.6142</v>
      </c>
      <c r="M12" s="13">
        <f>Test!C114</f>
        <v>42.191299999999998</v>
      </c>
      <c r="N12" s="13">
        <f>Test!D114</f>
        <v>41.875900000000001</v>
      </c>
      <c r="O12" s="13">
        <f>Test!E114</f>
        <v>40.533799999999999</v>
      </c>
      <c r="P12" s="13">
        <f>Test!F114</f>
        <v>62300.29</v>
      </c>
      <c r="Q12" s="13">
        <f>Test!G114</f>
        <v>33.67</v>
      </c>
      <c r="R12" s="14">
        <f t="shared" si="1"/>
        <v>17.305636111111113</v>
      </c>
      <c r="S12" s="13">
        <f t="shared" si="2"/>
        <v>1.0021268152606313</v>
      </c>
      <c r="T12" s="13">
        <f t="shared" si="3"/>
        <v>0.96007984031936133</v>
      </c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>
        <f>Reference!B115</f>
        <v>3829.8679000000002</v>
      </c>
      <c r="E13" s="13">
        <f>Reference!C115</f>
        <v>38.279200000000003</v>
      </c>
      <c r="F13" s="13">
        <f>Reference!D115</f>
        <v>39.777500000000003</v>
      </c>
      <c r="G13" s="13">
        <f>Reference!E115</f>
        <v>37.887500000000003</v>
      </c>
      <c r="H13" s="13">
        <f>Reference!F115</f>
        <v>37171.379999999997</v>
      </c>
      <c r="I13" s="13">
        <f>Reference!G115</f>
        <v>26.01</v>
      </c>
      <c r="J13" s="14">
        <f t="shared" si="0"/>
        <v>10.325383333333333</v>
      </c>
      <c r="L13" s="12">
        <f>Test!B115</f>
        <v>3344.2136999999998</v>
      </c>
      <c r="M13" s="13">
        <f>Test!C115</f>
        <v>39.527700000000003</v>
      </c>
      <c r="N13" s="13">
        <f>Test!D115</f>
        <v>40.512300000000003</v>
      </c>
      <c r="O13" s="13">
        <f>Test!E115</f>
        <v>38.1325</v>
      </c>
      <c r="P13" s="13">
        <f>Test!F115</f>
        <v>35728.26</v>
      </c>
      <c r="Q13" s="13">
        <f>Test!G115</f>
        <v>23.38</v>
      </c>
      <c r="R13" s="14">
        <f t="shared" si="1"/>
        <v>9.9245166666666673</v>
      </c>
      <c r="S13" s="13">
        <f t="shared" si="2"/>
        <v>0.96117658262889361</v>
      </c>
      <c r="T13" s="13">
        <f t="shared" si="3"/>
        <v>0.89888504421376381</v>
      </c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>
        <f>Reference!B116</f>
        <v>2057.6091999999999</v>
      </c>
      <c r="E14" s="17">
        <f>Reference!C116</f>
        <v>36.638300000000001</v>
      </c>
      <c r="F14" s="17">
        <f>Reference!D116</f>
        <v>38.579300000000003</v>
      </c>
      <c r="G14" s="17">
        <f>Reference!E116</f>
        <v>36.509</v>
      </c>
      <c r="H14" s="17">
        <f>Reference!F116</f>
        <v>17471.32</v>
      </c>
      <c r="I14" s="17">
        <f>Reference!G116</f>
        <v>21.61</v>
      </c>
      <c r="J14" s="18">
        <f t="shared" si="0"/>
        <v>4.8531444444444443</v>
      </c>
      <c r="L14" s="16">
        <f>Test!B116</f>
        <v>1799.5705</v>
      </c>
      <c r="M14" s="17">
        <f>Test!C116</f>
        <v>37.595500000000001</v>
      </c>
      <c r="N14" s="17">
        <f>Test!D116</f>
        <v>39.336799999999997</v>
      </c>
      <c r="O14" s="17">
        <f>Test!E116</f>
        <v>36.725000000000001</v>
      </c>
      <c r="P14" s="17">
        <f>Test!F116</f>
        <v>17013.12</v>
      </c>
      <c r="Q14" s="17">
        <f>Test!G116</f>
        <v>20.329999999999998</v>
      </c>
      <c r="R14" s="18">
        <f t="shared" si="1"/>
        <v>4.7258666666666667</v>
      </c>
      <c r="S14" s="13">
        <f t="shared" si="2"/>
        <v>0.97377416245595638</v>
      </c>
      <c r="T14" s="13">
        <f t="shared" si="3"/>
        <v>0.94076816288755205</v>
      </c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>
        <f>Reference!B117</f>
        <v>34961.823199999999</v>
      </c>
      <c r="E15" s="10">
        <f>Reference!C117</f>
        <v>42.511800000000001</v>
      </c>
      <c r="F15" s="10">
        <f>Reference!D117</f>
        <v>44.075299999999999</v>
      </c>
      <c r="G15" s="10">
        <f>Reference!E117</f>
        <v>42.728000000000002</v>
      </c>
      <c r="H15" s="10">
        <f>Reference!F117</f>
        <v>102181.19</v>
      </c>
      <c r="I15" s="10">
        <f>Reference!G117</f>
        <v>44.07</v>
      </c>
      <c r="J15" s="11">
        <f t="shared" si="0"/>
        <v>28.38366388888889</v>
      </c>
      <c r="L15" s="9">
        <f>Test!B117</f>
        <v>34272.669500000004</v>
      </c>
      <c r="M15" s="10">
        <f>Test!C117</f>
        <v>42.5398</v>
      </c>
      <c r="N15" s="10">
        <f>Test!D117</f>
        <v>44.157899999999998</v>
      </c>
      <c r="O15" s="10">
        <f>Test!E117</f>
        <v>42.742699999999999</v>
      </c>
      <c r="P15" s="10">
        <f>Test!F117</f>
        <v>103692.53</v>
      </c>
      <c r="Q15" s="10">
        <f>Test!G117</f>
        <v>43.24</v>
      </c>
      <c r="R15" s="11">
        <f t="shared" si="1"/>
        <v>28.803480555555556</v>
      </c>
      <c r="S15" s="10">
        <f t="shared" si="2"/>
        <v>1.0147907848792914</v>
      </c>
      <c r="T15" s="10">
        <f t="shared" si="3"/>
        <v>0.98116632629906975</v>
      </c>
      <c r="U15" s="47"/>
      <c r="V15" s="30">
        <f>bdrate($D15:$D18,E15:E18,$L15:$L18,M15:M18)</f>
        <v>-0.15408146005140499</v>
      </c>
      <c r="W15" s="35">
        <f>bdrate($D15:$D18,F15:F18,$L15:$L18,N15:N18)</f>
        <v>-0.14896418652387655</v>
      </c>
      <c r="X15" s="36">
        <f>bdrate($D15:$D18,G15:G18,$L15:$L18,O15:O18)</f>
        <v>-5.4353969803393354E-2</v>
      </c>
      <c r="Y15" s="30">
        <f>bdrateOld($D15:$D18,E15:E18,$L15:$L18,M15:M18)</f>
        <v>-0.15152582991908925</v>
      </c>
      <c r="Z15" s="35">
        <f>bdrateOld($D15:$D18,F15:F18,$L15:$L18,N15:N18)</f>
        <v>-0.14594064099489223</v>
      </c>
      <c r="AA15" s="36">
        <f>bdrateOld($D15:$D18,G15:G18,$L15:$L18,O15:O18)</f>
        <v>-5.4374308084347511E-2</v>
      </c>
    </row>
    <row r="16" spans="1:27" x14ac:dyDescent="0.2">
      <c r="A16" s="25" t="s">
        <v>69</v>
      </c>
      <c r="B16" s="25"/>
      <c r="C16" s="25">
        <v>27</v>
      </c>
      <c r="D16" s="12">
        <f>Reference!B118</f>
        <v>11224.8758</v>
      </c>
      <c r="E16" s="13">
        <f>Reference!C118</f>
        <v>41.296500000000002</v>
      </c>
      <c r="F16" s="13">
        <f>Reference!D118</f>
        <v>42.292700000000004</v>
      </c>
      <c r="G16" s="13">
        <f>Reference!E118</f>
        <v>40.346899999999998</v>
      </c>
      <c r="H16" s="13">
        <f>Reference!F118</f>
        <v>57084.52</v>
      </c>
      <c r="I16" s="13">
        <f>Reference!G118</f>
        <v>32.85</v>
      </c>
      <c r="J16" s="14">
        <f t="shared" si="0"/>
        <v>15.85681111111111</v>
      </c>
      <c r="L16" s="12">
        <f>Test!B118</f>
        <v>10793.8658</v>
      </c>
      <c r="M16" s="13">
        <f>Test!C118</f>
        <v>41.439399999999999</v>
      </c>
      <c r="N16" s="13">
        <f>Test!D118</f>
        <v>42.541899999999998</v>
      </c>
      <c r="O16" s="13">
        <f>Test!E118</f>
        <v>40.391399999999997</v>
      </c>
      <c r="P16" s="13">
        <f>Test!F118</f>
        <v>57351.23</v>
      </c>
      <c r="Q16" s="13">
        <f>Test!G118</f>
        <v>31.15</v>
      </c>
      <c r="R16" s="14">
        <f t="shared" si="1"/>
        <v>15.930897222222223</v>
      </c>
      <c r="S16" s="13">
        <f t="shared" si="2"/>
        <v>1.0046721948437161</v>
      </c>
      <c r="T16" s="13">
        <f t="shared" si="3"/>
        <v>0.94824961948249609</v>
      </c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>
        <f>Reference!B119</f>
        <v>6526.5347000000002</v>
      </c>
      <c r="E17" s="13">
        <f>Reference!C119</f>
        <v>40.406500000000001</v>
      </c>
      <c r="F17" s="13">
        <f>Reference!D119</f>
        <v>40.801299999999998</v>
      </c>
      <c r="G17" s="13">
        <f>Reference!E119</f>
        <v>39.021099999999997</v>
      </c>
      <c r="H17" s="13">
        <f>Reference!F119</f>
        <v>31538.76</v>
      </c>
      <c r="I17" s="13">
        <f>Reference!G119</f>
        <v>27.8</v>
      </c>
      <c r="J17" s="14">
        <f t="shared" si="0"/>
        <v>8.760766666666667</v>
      </c>
      <c r="L17" s="12">
        <f>Test!B119</f>
        <v>6271.0767999999998</v>
      </c>
      <c r="M17" s="13">
        <f>Test!C119</f>
        <v>40.6995</v>
      </c>
      <c r="N17" s="13">
        <f>Test!D119</f>
        <v>41.171999999999997</v>
      </c>
      <c r="O17" s="13">
        <f>Test!E119</f>
        <v>39.095500000000001</v>
      </c>
      <c r="P17" s="13">
        <f>Test!F119</f>
        <v>30978.03</v>
      </c>
      <c r="Q17" s="13">
        <f>Test!G119</f>
        <v>26.63</v>
      </c>
      <c r="R17" s="14">
        <f t="shared" si="1"/>
        <v>8.6050083333333323</v>
      </c>
      <c r="S17" s="13">
        <f t="shared" si="2"/>
        <v>0.98222092434832564</v>
      </c>
      <c r="T17" s="13">
        <f t="shared" si="3"/>
        <v>0.95791366906474817</v>
      </c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>
        <f>Reference!B120</f>
        <v>3914.9463000000001</v>
      </c>
      <c r="E18" s="17">
        <f>Reference!C120</f>
        <v>39.602600000000002</v>
      </c>
      <c r="F18" s="17">
        <f>Reference!D120</f>
        <v>39.581499999999998</v>
      </c>
      <c r="G18" s="17">
        <f>Reference!E120</f>
        <v>37.322899999999997</v>
      </c>
      <c r="H18" s="17">
        <f>Reference!F120</f>
        <v>16408.28</v>
      </c>
      <c r="I18" s="17">
        <f>Reference!G120</f>
        <v>23.78</v>
      </c>
      <c r="J18" s="18">
        <f t="shared" si="0"/>
        <v>4.5578555555555553</v>
      </c>
      <c r="L18" s="16">
        <f>Test!B120</f>
        <v>3747.1232</v>
      </c>
      <c r="M18" s="17">
        <f>Test!C120</f>
        <v>39.990099999999998</v>
      </c>
      <c r="N18" s="17">
        <f>Test!D120</f>
        <v>39.9435</v>
      </c>
      <c r="O18" s="17">
        <f>Test!E120</f>
        <v>37.393999999999998</v>
      </c>
      <c r="P18" s="17">
        <f>Test!F120</f>
        <v>16477.59</v>
      </c>
      <c r="Q18" s="17">
        <f>Test!G120</f>
        <v>24.23</v>
      </c>
      <c r="R18" s="18">
        <f t="shared" si="1"/>
        <v>4.5771083333333333</v>
      </c>
      <c r="S18" s="13">
        <f t="shared" si="2"/>
        <v>1.0042240868634618</v>
      </c>
      <c r="T18" s="13">
        <f t="shared" si="3"/>
        <v>1.0189234650967198</v>
      </c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>
        <f>Reference!B121</f>
        <v>56455.852099999996</v>
      </c>
      <c r="E19" s="10">
        <f>Reference!C121</f>
        <v>45.959200000000003</v>
      </c>
      <c r="F19" s="10">
        <f>Reference!D121</f>
        <v>44.067399999999999</v>
      </c>
      <c r="G19" s="10">
        <f>Reference!E121</f>
        <v>42.361899999999999</v>
      </c>
      <c r="H19" s="10">
        <f>Reference!F121</f>
        <v>130203.62</v>
      </c>
      <c r="I19" s="10">
        <f>Reference!G121</f>
        <v>50.93</v>
      </c>
      <c r="J19" s="11">
        <f t="shared" si="0"/>
        <v>36.167672222222222</v>
      </c>
      <c r="L19" s="9">
        <f>Test!B121</f>
        <v>56322.707399999999</v>
      </c>
      <c r="M19" s="10">
        <f>Test!C121</f>
        <v>46.065800000000003</v>
      </c>
      <c r="N19" s="10">
        <f>Test!D121</f>
        <v>44.0854</v>
      </c>
      <c r="O19" s="10">
        <f>Test!E121</f>
        <v>42.372199999999999</v>
      </c>
      <c r="P19" s="10">
        <f>Test!F121</f>
        <v>134480.18</v>
      </c>
      <c r="Q19" s="10">
        <f>Test!G121</f>
        <v>50.75</v>
      </c>
      <c r="R19" s="11">
        <f t="shared" si="1"/>
        <v>37.355605555555556</v>
      </c>
      <c r="S19" s="13">
        <f t="shared" si="2"/>
        <v>1.0328451697425924</v>
      </c>
      <c r="T19" s="13">
        <f t="shared" si="3"/>
        <v>0.99646573728647159</v>
      </c>
      <c r="U19" s="48"/>
      <c r="V19" s="30">
        <f>bdrate($D19:$D22,E19:E22,$L19:$L22,M19:M22)</f>
        <v>-0.18176661600757404</v>
      </c>
      <c r="W19" s="35">
        <f>bdrate($D19:$D22,F19:F22,$L19:$L22,N19:N22)</f>
        <v>-4.325873157598048E-2</v>
      </c>
      <c r="X19" s="35">
        <f>bdrate($D19:$D22,G19:G22,$L19:$L22,O19:O22)</f>
        <v>-1.3226797403522284E-2</v>
      </c>
      <c r="Y19" s="33">
        <f>bdrateOld($D19:$D22,E19:E22,$L19:$L22,M19:M22)</f>
        <v>-0.17726839944468409</v>
      </c>
      <c r="Z19" s="37">
        <f>bdrateOld($D19:$D22,F19:F22,$L19:$L22,N19:N22)</f>
        <v>-4.3291862845520335E-2</v>
      </c>
      <c r="AA19" s="38">
        <f>bdrateOld($D19:$D22,G19:G22,$L19:$L22,O19:O22)</f>
        <v>-1.1922020376843756E-2</v>
      </c>
    </row>
    <row r="20" spans="1:27" x14ac:dyDescent="0.2">
      <c r="A20" s="25"/>
      <c r="B20" s="25"/>
      <c r="C20" s="25">
        <v>27</v>
      </c>
      <c r="D20" s="12">
        <f>Reference!B122</f>
        <v>11402.673199999999</v>
      </c>
      <c r="E20" s="13">
        <f>Reference!C122</f>
        <v>44.603400000000001</v>
      </c>
      <c r="F20" s="13">
        <f>Reference!D122</f>
        <v>42.417400000000001</v>
      </c>
      <c r="G20" s="13">
        <f>Reference!E122</f>
        <v>38.938800000000001</v>
      </c>
      <c r="H20" s="13">
        <f>Reference!F122</f>
        <v>74398.81</v>
      </c>
      <c r="I20" s="13">
        <f>Reference!G122</f>
        <v>30.84</v>
      </c>
      <c r="J20" s="14">
        <f t="shared" si="0"/>
        <v>20.666336111111111</v>
      </c>
      <c r="L20" s="12">
        <f>Test!B122</f>
        <v>11315.8784</v>
      </c>
      <c r="M20" s="13">
        <f>Test!C122</f>
        <v>44.833500000000001</v>
      </c>
      <c r="N20" s="13">
        <f>Test!D122</f>
        <v>42.469200000000001</v>
      </c>
      <c r="O20" s="13">
        <f>Test!E122</f>
        <v>38.952399999999997</v>
      </c>
      <c r="P20" s="13">
        <f>Test!F122</f>
        <v>74952.3</v>
      </c>
      <c r="Q20" s="13">
        <f>Test!G122</f>
        <v>30.48</v>
      </c>
      <c r="R20" s="14">
        <f t="shared" si="1"/>
        <v>20.820083333333333</v>
      </c>
      <c r="S20" s="13">
        <f t="shared" si="2"/>
        <v>1.0074395007124444</v>
      </c>
      <c r="T20" s="13">
        <f t="shared" si="3"/>
        <v>0.98832684824902728</v>
      </c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>
        <f>Reference!B123</f>
        <v>6157.1337000000003</v>
      </c>
      <c r="E21" s="13">
        <f>Reference!C123</f>
        <v>43.418300000000002</v>
      </c>
      <c r="F21" s="13">
        <f>Reference!D123</f>
        <v>41.084899999999998</v>
      </c>
      <c r="G21" s="13">
        <f>Reference!E123</f>
        <v>37.881100000000004</v>
      </c>
      <c r="H21" s="13">
        <f>Reference!F123</f>
        <v>37090.29</v>
      </c>
      <c r="I21" s="13">
        <f>Reference!G123</f>
        <v>26.21</v>
      </c>
      <c r="J21" s="14">
        <f t="shared" si="0"/>
        <v>10.302858333333333</v>
      </c>
      <c r="L21" s="12">
        <f>Test!B123</f>
        <v>6107.4062999999996</v>
      </c>
      <c r="M21" s="13">
        <f>Test!C123</f>
        <v>43.769500000000001</v>
      </c>
      <c r="N21" s="13">
        <f>Test!D123</f>
        <v>41.164299999999997</v>
      </c>
      <c r="O21" s="13">
        <f>Test!E123</f>
        <v>37.903399999999998</v>
      </c>
      <c r="P21" s="13">
        <f>Test!F123</f>
        <v>38175.85</v>
      </c>
      <c r="Q21" s="13">
        <f>Test!G123</f>
        <v>26.55</v>
      </c>
      <c r="R21" s="14">
        <f t="shared" si="1"/>
        <v>10.604402777777777</v>
      </c>
      <c r="S21" s="13">
        <f t="shared" si="2"/>
        <v>1.0292680375375873</v>
      </c>
      <c r="T21" s="13">
        <f t="shared" si="3"/>
        <v>1.012972148035101</v>
      </c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>
        <f>Reference!B124</f>
        <v>3436.4195</v>
      </c>
      <c r="E22" s="17">
        <f>Reference!C124</f>
        <v>42.457599999999999</v>
      </c>
      <c r="F22" s="17">
        <f>Reference!D124</f>
        <v>40.063200000000002</v>
      </c>
      <c r="G22" s="17">
        <f>Reference!E124</f>
        <v>36.489600000000003</v>
      </c>
      <c r="H22" s="17">
        <f>Reference!F124</f>
        <v>18431.72</v>
      </c>
      <c r="I22" s="17">
        <f>Reference!G124</f>
        <v>21.27</v>
      </c>
      <c r="J22" s="18">
        <f t="shared" si="0"/>
        <v>5.1199222222222227</v>
      </c>
      <c r="L22" s="16">
        <f>Test!B124</f>
        <v>3408.2842000000001</v>
      </c>
      <c r="M22" s="17">
        <f>Test!C124</f>
        <v>42.8782</v>
      </c>
      <c r="N22" s="17">
        <f>Test!D124</f>
        <v>40.1783</v>
      </c>
      <c r="O22" s="17">
        <f>Test!E124</f>
        <v>36.518000000000001</v>
      </c>
      <c r="P22" s="17">
        <f>Test!F124</f>
        <v>18622.23</v>
      </c>
      <c r="Q22" s="17">
        <f>Test!G124</f>
        <v>22.28</v>
      </c>
      <c r="R22" s="18">
        <f t="shared" si="1"/>
        <v>5.1728416666666668</v>
      </c>
      <c r="S22" s="13">
        <f t="shared" si="2"/>
        <v>1.0103359860067318</v>
      </c>
      <c r="T22" s="13">
        <f t="shared" si="3"/>
        <v>1.0474847202632818</v>
      </c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>
        <f>Reference!B125</f>
        <v>52029.675000000003</v>
      </c>
      <c r="E23" s="10">
        <f>Reference!C125</f>
        <v>40.768500000000003</v>
      </c>
      <c r="F23" s="10">
        <f>Reference!D125</f>
        <v>41.186900000000001</v>
      </c>
      <c r="G23" s="10">
        <f>Reference!E125</f>
        <v>43.991799999999998</v>
      </c>
      <c r="H23" s="10">
        <f>Reference!F125</f>
        <v>106546.72</v>
      </c>
      <c r="I23" s="10">
        <f>Reference!G125</f>
        <v>45.94</v>
      </c>
      <c r="J23" s="11">
        <f t="shared" si="0"/>
        <v>29.59631111111111</v>
      </c>
      <c r="L23" s="9">
        <f>Test!B125</f>
        <v>51483.140800000001</v>
      </c>
      <c r="M23" s="10">
        <f>Test!C125</f>
        <v>40.778799999999997</v>
      </c>
      <c r="N23" s="10">
        <f>Test!D125</f>
        <v>41.200499999999998</v>
      </c>
      <c r="O23" s="10">
        <f>Test!E125</f>
        <v>44.000100000000003</v>
      </c>
      <c r="P23" s="10">
        <f>Test!F125</f>
        <v>109751.54</v>
      </c>
      <c r="Q23" s="10">
        <f>Test!G125</f>
        <v>46.3</v>
      </c>
      <c r="R23" s="11">
        <f t="shared" si="1"/>
        <v>30.486538888888887</v>
      </c>
      <c r="S23" s="13">
        <f t="shared" si="2"/>
        <v>1.030079011348261</v>
      </c>
      <c r="T23" s="13">
        <f t="shared" si="3"/>
        <v>1.0078363082281236</v>
      </c>
      <c r="U23" s="48"/>
      <c r="V23" s="30">
        <f>bdrate($D23:$D26,E23:E26,$L23:$L26,M23:M26)</f>
        <v>-2.6783798321260766E-2</v>
      </c>
      <c r="W23" s="35">
        <f>bdrate($D23:$D26,F23:F26,$L23:$L26,N23:N26)</f>
        <v>-2.1945802956056748E-2</v>
      </c>
      <c r="X23" s="35">
        <f>bdrate($D23:$D26,G23:G26,$L23:$L26,O23:O26)</f>
        <v>-1.9234575880495264E-2</v>
      </c>
      <c r="Y23" s="33">
        <f>bdrateOld($D23:$D26,E23:E26,$L23:$L26,M23:M26)</f>
        <v>-2.6519619570793518E-2</v>
      </c>
      <c r="Z23" s="37">
        <f>bdrateOld($D23:$D26,F23:F26,$L23:$L26,N23:N26)</f>
        <v>-2.1879427323768241E-2</v>
      </c>
      <c r="AA23" s="38">
        <f>bdrateOld($D23:$D26,G23:G26,$L23:$L26,O23:O26)</f>
        <v>-1.916934423244776E-2</v>
      </c>
    </row>
    <row r="24" spans="1:27" x14ac:dyDescent="0.2">
      <c r="A24" s="25"/>
      <c r="B24" s="25"/>
      <c r="C24" s="25">
        <v>27</v>
      </c>
      <c r="D24" s="12">
        <f>Reference!B126</f>
        <v>29779.9987</v>
      </c>
      <c r="E24" s="13">
        <f>Reference!C126</f>
        <v>36.987299999999998</v>
      </c>
      <c r="F24" s="13">
        <f>Reference!D126</f>
        <v>37.856999999999999</v>
      </c>
      <c r="G24" s="13">
        <f>Reference!E126</f>
        <v>40.313800000000001</v>
      </c>
      <c r="H24" s="13">
        <f>Reference!F126</f>
        <v>74410.320000000007</v>
      </c>
      <c r="I24" s="13">
        <f>Reference!G126</f>
        <v>39.71</v>
      </c>
      <c r="J24" s="14">
        <f t="shared" si="0"/>
        <v>20.669533333333334</v>
      </c>
      <c r="L24" s="12">
        <f>Test!B126</f>
        <v>29380.397400000002</v>
      </c>
      <c r="M24" s="13">
        <f>Test!C126</f>
        <v>37.029800000000002</v>
      </c>
      <c r="N24" s="13">
        <f>Test!D126</f>
        <v>37.888100000000001</v>
      </c>
      <c r="O24" s="13">
        <f>Test!E126</f>
        <v>40.337699999999998</v>
      </c>
      <c r="P24" s="13">
        <f>Test!F126</f>
        <v>78902.320000000007</v>
      </c>
      <c r="Q24" s="13">
        <f>Test!G126</f>
        <v>40.26</v>
      </c>
      <c r="R24" s="14">
        <f t="shared" si="1"/>
        <v>21.917311111111115</v>
      </c>
      <c r="S24" s="13">
        <f t="shared" si="2"/>
        <v>1.0603679704643119</v>
      </c>
      <c r="T24" s="13">
        <f t="shared" si="3"/>
        <v>1.0138504155124652</v>
      </c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>
        <f>Reference!B127</f>
        <v>16712.255300000001</v>
      </c>
      <c r="E25" s="13">
        <f>Reference!C127</f>
        <v>34.398200000000003</v>
      </c>
      <c r="F25" s="13">
        <f>Reference!D127</f>
        <v>35.562399999999997</v>
      </c>
      <c r="G25" s="13">
        <f>Reference!E127</f>
        <v>37.370800000000003</v>
      </c>
      <c r="H25" s="13">
        <f>Reference!F127</f>
        <v>54285.35</v>
      </c>
      <c r="I25" s="13">
        <f>Reference!G127</f>
        <v>34.22</v>
      </c>
      <c r="J25" s="14">
        <f t="shared" si="0"/>
        <v>15.079263888888889</v>
      </c>
      <c r="L25" s="12">
        <f>Test!B127</f>
        <v>16468.1842</v>
      </c>
      <c r="M25" s="13">
        <f>Test!C127</f>
        <v>34.487499999999997</v>
      </c>
      <c r="N25" s="13">
        <f>Test!D127</f>
        <v>35.606000000000002</v>
      </c>
      <c r="O25" s="13">
        <f>Test!E127</f>
        <v>37.411099999999998</v>
      </c>
      <c r="P25" s="13">
        <f>Test!F127</f>
        <v>58425.91</v>
      </c>
      <c r="Q25" s="13">
        <f>Test!G127</f>
        <v>34.6</v>
      </c>
      <c r="R25" s="14">
        <f t="shared" si="1"/>
        <v>16.229419444444446</v>
      </c>
      <c r="S25" s="13">
        <f t="shared" si="2"/>
        <v>1.0762739855227976</v>
      </c>
      <c r="T25" s="13">
        <f t="shared" si="3"/>
        <v>1.0111046171829341</v>
      </c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>
        <f>Reference!B128</f>
        <v>9165.9367999999995</v>
      </c>
      <c r="E26" s="17">
        <f>Reference!C128</f>
        <v>32.650700000000001</v>
      </c>
      <c r="F26" s="17">
        <f>Reference!D128</f>
        <v>34.016599999999997</v>
      </c>
      <c r="G26" s="17">
        <f>Reference!E128</f>
        <v>34.852899999999998</v>
      </c>
      <c r="H26" s="17">
        <f>Reference!F128</f>
        <v>33278.839999999997</v>
      </c>
      <c r="I26" s="17">
        <f>Reference!G128</f>
        <v>29.04</v>
      </c>
      <c r="J26" s="18">
        <f t="shared" si="0"/>
        <v>9.2441222222222219</v>
      </c>
      <c r="L26" s="16">
        <f>Test!B128</f>
        <v>9022.8132000000005</v>
      </c>
      <c r="M26" s="17">
        <f>Test!C128</f>
        <v>32.760300000000001</v>
      </c>
      <c r="N26" s="17">
        <f>Test!D128</f>
        <v>34.065899999999999</v>
      </c>
      <c r="O26" s="17">
        <f>Test!E128</f>
        <v>34.8932</v>
      </c>
      <c r="P26" s="17">
        <f>Test!F128</f>
        <v>35054.81</v>
      </c>
      <c r="Q26" s="17">
        <f>Test!G128</f>
        <v>28.93</v>
      </c>
      <c r="R26" s="18">
        <f t="shared" si="1"/>
        <v>9.7374472222222224</v>
      </c>
      <c r="S26" s="13">
        <f t="shared" si="2"/>
        <v>1.0533663432980236</v>
      </c>
      <c r="T26" s="13">
        <f t="shared" si="3"/>
        <v>0.99621212121212122</v>
      </c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Reference!B129</f>
        <v>10526.5272</v>
      </c>
      <c r="E27" s="10">
        <f>Reference!C129</f>
        <v>45.022300000000001</v>
      </c>
      <c r="F27" s="10">
        <f>Reference!D129</f>
        <v>45.448599999999999</v>
      </c>
      <c r="G27" s="10">
        <f>Reference!E129</f>
        <v>43.4696</v>
      </c>
      <c r="H27" s="10">
        <f>Reference!F129</f>
        <v>53941.3</v>
      </c>
      <c r="I27" s="10">
        <f>Reference!G129</f>
        <v>19.190000000000001</v>
      </c>
      <c r="J27" s="11">
        <f t="shared" si="0"/>
        <v>14.983694444444446</v>
      </c>
      <c r="L27" s="9">
        <f>Test!B129</f>
        <v>10336.5784</v>
      </c>
      <c r="M27" s="10">
        <f>Test!C129</f>
        <v>45.150100000000002</v>
      </c>
      <c r="N27" s="10">
        <f>Test!D129</f>
        <v>45.806600000000003</v>
      </c>
      <c r="O27" s="10">
        <f>Test!E129</f>
        <v>43.529499999999999</v>
      </c>
      <c r="P27" s="10">
        <f>Test!F129</f>
        <v>56203.65</v>
      </c>
      <c r="Q27" s="10">
        <f>Test!G129</f>
        <v>21.31</v>
      </c>
      <c r="R27" s="11">
        <f t="shared" si="1"/>
        <v>15.612125000000001</v>
      </c>
      <c r="S27" s="10">
        <f t="shared" si="2"/>
        <v>1.0419409617491606</v>
      </c>
      <c r="T27" s="10">
        <f t="shared" si="3"/>
        <v>1.1104742053152683</v>
      </c>
      <c r="U27" s="47"/>
      <c r="V27" s="30">
        <f>bdrate($D27:$D30,E27:E30,$L27:$L30,M27:M30)</f>
        <v>-0.13731983532488012</v>
      </c>
      <c r="W27" s="35">
        <f>bdrate($D27:$D30,F27:F30,$L27:$L30,N27:N30)</f>
        <v>-0.21207154932138994</v>
      </c>
      <c r="X27" s="36">
        <f>bdrate($D27:$D30,G27:G30,$L27:$L30,O27:O30)</f>
        <v>-3.2843391239449571E-2</v>
      </c>
      <c r="Y27" s="30">
        <f>bdrateOld($D27:$D30,E27:E30,$L27:$L30,M27:M30)</f>
        <v>-0.13426377143957824</v>
      </c>
      <c r="Z27" s="35">
        <f>bdrateOld($D27:$D30,F27:F30,$L27:$L30,N27:N30)</f>
        <v>-0.21023997660000771</v>
      </c>
      <c r="AA27" s="36">
        <f>bdrateOld($D27:$D30,G27:G30,$L27:$L30,O27:O30)</f>
        <v>-3.2821868058199866E-2</v>
      </c>
    </row>
    <row r="28" spans="1:27" x14ac:dyDescent="0.2">
      <c r="A28" s="25" t="s">
        <v>70</v>
      </c>
      <c r="B28" s="25"/>
      <c r="C28" s="25">
        <v>27</v>
      </c>
      <c r="D28" s="12">
        <f>Reference!B130</f>
        <v>5609.0983999999999</v>
      </c>
      <c r="E28" s="13">
        <f>Reference!C130</f>
        <v>42.706699999999998</v>
      </c>
      <c r="F28" s="13">
        <f>Reference!D130</f>
        <v>43.517099999999999</v>
      </c>
      <c r="G28" s="13">
        <f>Reference!E130</f>
        <v>40.874299999999998</v>
      </c>
      <c r="H28" s="13">
        <f>Reference!F130</f>
        <v>35925.97</v>
      </c>
      <c r="I28" s="13">
        <f>Reference!G130</f>
        <v>16.940000000000001</v>
      </c>
      <c r="J28" s="14">
        <f t="shared" si="0"/>
        <v>9.9794361111111112</v>
      </c>
      <c r="L28" s="12">
        <f>Test!B130</f>
        <v>5536.9831999999997</v>
      </c>
      <c r="M28" s="13">
        <f>Test!C130</f>
        <v>43.026499999999999</v>
      </c>
      <c r="N28" s="13">
        <f>Test!D130</f>
        <v>44.082299999999996</v>
      </c>
      <c r="O28" s="13">
        <f>Test!E130</f>
        <v>40.972900000000003</v>
      </c>
      <c r="P28" s="13">
        <f>Test!F130</f>
        <v>36968.339999999997</v>
      </c>
      <c r="Q28" s="13">
        <f>Test!G130</f>
        <v>17.43</v>
      </c>
      <c r="R28" s="14">
        <f t="shared" si="1"/>
        <v>10.268983333333333</v>
      </c>
      <c r="S28" s="13">
        <f t="shared" si="2"/>
        <v>1.0290143870854425</v>
      </c>
      <c r="T28" s="13">
        <f t="shared" si="3"/>
        <v>1.0289256198347108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Reference!B131</f>
        <v>3093.5336000000002</v>
      </c>
      <c r="E29" s="13">
        <f>Reference!C131</f>
        <v>41.084200000000003</v>
      </c>
      <c r="F29" s="13">
        <f>Reference!D131</f>
        <v>42.148000000000003</v>
      </c>
      <c r="G29" s="13">
        <f>Reference!E131</f>
        <v>38.417400000000001</v>
      </c>
      <c r="H29" s="13">
        <f>Reference!F131</f>
        <v>23815.41</v>
      </c>
      <c r="I29" s="13">
        <f>Reference!G131</f>
        <v>13.98</v>
      </c>
      <c r="J29" s="14">
        <f t="shared" si="0"/>
        <v>6.6153916666666666</v>
      </c>
      <c r="L29" s="12">
        <f>Test!B131</f>
        <v>3059.8912</v>
      </c>
      <c r="M29" s="13">
        <f>Test!C131</f>
        <v>41.551600000000001</v>
      </c>
      <c r="N29" s="13">
        <f>Test!D131</f>
        <v>42.6965</v>
      </c>
      <c r="O29" s="13">
        <f>Test!E131</f>
        <v>38.505200000000002</v>
      </c>
      <c r="P29" s="13">
        <f>Test!F131</f>
        <v>23988.959999999999</v>
      </c>
      <c r="Q29" s="13">
        <f>Test!G131</f>
        <v>13.69</v>
      </c>
      <c r="R29" s="14">
        <f t="shared" si="1"/>
        <v>6.6635999999999997</v>
      </c>
      <c r="S29" s="13">
        <f t="shared" si="2"/>
        <v>1.007287298434081</v>
      </c>
      <c r="T29" s="13">
        <f t="shared" si="3"/>
        <v>0.9792560801144492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Reference!B132</f>
        <v>1641.2575999999999</v>
      </c>
      <c r="E30" s="17">
        <f>Reference!C132</f>
        <v>39.983400000000003</v>
      </c>
      <c r="F30" s="17">
        <f>Reference!D132</f>
        <v>41.090800000000002</v>
      </c>
      <c r="G30" s="17">
        <f>Reference!E132</f>
        <v>35.8598</v>
      </c>
      <c r="H30" s="17">
        <f>Reference!F132</f>
        <v>13490.15</v>
      </c>
      <c r="I30" s="17">
        <f>Reference!G132</f>
        <v>12.17</v>
      </c>
      <c r="J30" s="18">
        <f t="shared" si="0"/>
        <v>3.7472638888888889</v>
      </c>
      <c r="L30" s="16">
        <f>Test!B132</f>
        <v>1621.8879999999999</v>
      </c>
      <c r="M30" s="17">
        <f>Test!C132</f>
        <v>40.495100000000001</v>
      </c>
      <c r="N30" s="17">
        <f>Test!D132</f>
        <v>41.5627</v>
      </c>
      <c r="O30" s="17">
        <f>Test!E132</f>
        <v>35.920200000000001</v>
      </c>
      <c r="P30" s="17">
        <f>Test!F132</f>
        <v>13626.85</v>
      </c>
      <c r="Q30" s="17">
        <f>Test!G132</f>
        <v>11.92</v>
      </c>
      <c r="R30" s="18">
        <f t="shared" si="1"/>
        <v>3.7852361111111112</v>
      </c>
      <c r="S30" s="13">
        <f t="shared" si="2"/>
        <v>1.0101333194960769</v>
      </c>
      <c r="T30" s="13">
        <f t="shared" si="3"/>
        <v>0.97945768282662282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Reference!B133</f>
        <v>6087.4120000000003</v>
      </c>
      <c r="E31" s="10">
        <f>Reference!C133</f>
        <v>47.999299999999998</v>
      </c>
      <c r="F31" s="10">
        <f>Reference!D133</f>
        <v>48.732799999999997</v>
      </c>
      <c r="G31" s="10">
        <f>Reference!E133</f>
        <v>46.584299999999999</v>
      </c>
      <c r="H31" s="10">
        <f>Reference!F133</f>
        <v>36383.21</v>
      </c>
      <c r="I31" s="10">
        <f>Reference!G133</f>
        <v>19.63</v>
      </c>
      <c r="J31" s="11">
        <f t="shared" si="0"/>
        <v>10.106447222222222</v>
      </c>
      <c r="K31" s="81"/>
      <c r="L31" s="9">
        <f>Test!B133</f>
        <v>6006.5216</v>
      </c>
      <c r="M31" s="10">
        <f>Test!C133</f>
        <v>48.206000000000003</v>
      </c>
      <c r="N31" s="10">
        <f>Test!D133</f>
        <v>49.523099999999999</v>
      </c>
      <c r="O31" s="10">
        <f>Test!E133</f>
        <v>46.685699999999997</v>
      </c>
      <c r="P31" s="10">
        <f>Test!F133</f>
        <v>36860.89</v>
      </c>
      <c r="Q31" s="10">
        <f>Test!G133</f>
        <v>19.47</v>
      </c>
      <c r="R31" s="11">
        <f t="shared" si="1"/>
        <v>10.239136111111112</v>
      </c>
      <c r="S31" s="13">
        <f t="shared" si="2"/>
        <v>1.0131291329159797</v>
      </c>
      <c r="T31" s="13">
        <f t="shared" si="3"/>
        <v>0.99184921039225671</v>
      </c>
      <c r="U31" s="48"/>
      <c r="V31" s="30">
        <f>bdrate($D31:$D34,E31:E34,$L31:$L34,M31:M34)</f>
        <v>-0.10563020742714935</v>
      </c>
      <c r="W31" s="35">
        <f>bdrate($D31:$D34,F31:F34,$L31:$L34,N31:N34)</f>
        <v>-0.22846728623038937</v>
      </c>
      <c r="X31" s="35">
        <f>bdrate($D31:$D34,G31:G34,$L31:$L34,O31:O34)</f>
        <v>-3.3626745648596912E-2</v>
      </c>
      <c r="Y31" s="33">
        <f>bdrateOld($D31:$D34,E31:E34,$L31:$L34,M31:M34)</f>
        <v>-0.10566522676468482</v>
      </c>
      <c r="Z31" s="37">
        <f>bdrateOld($D31:$D34,F31:F34,$L31:$L34,N31:N34)</f>
        <v>-0.22691291161374427</v>
      </c>
      <c r="AA31" s="38">
        <f>bdrateOld($D31:$D34,G31:G34,$L31:$L34,O31:O34)</f>
        <v>-3.3621791887551766E-2</v>
      </c>
    </row>
    <row r="32" spans="1:27" x14ac:dyDescent="0.2">
      <c r="A32" s="25"/>
      <c r="B32" s="25"/>
      <c r="C32" s="25">
        <v>27</v>
      </c>
      <c r="D32" s="12">
        <f>Reference!B134</f>
        <v>3675.232</v>
      </c>
      <c r="E32" s="13">
        <f>Reference!C134</f>
        <v>45.505299999999998</v>
      </c>
      <c r="F32" s="13">
        <f>Reference!D134</f>
        <v>46.082999999999998</v>
      </c>
      <c r="G32" s="13">
        <f>Reference!E134</f>
        <v>43.923400000000001</v>
      </c>
      <c r="H32" s="13">
        <f>Reference!F134</f>
        <v>24879.55</v>
      </c>
      <c r="I32" s="13">
        <f>Reference!G134</f>
        <v>16.739999999999998</v>
      </c>
      <c r="J32" s="14">
        <f t="shared" si="0"/>
        <v>6.9109861111111108</v>
      </c>
      <c r="K32" s="81"/>
      <c r="L32" s="12">
        <f>Test!B134</f>
        <v>3632.4648000000002</v>
      </c>
      <c r="M32" s="13">
        <f>Test!C134</f>
        <v>45.805700000000002</v>
      </c>
      <c r="N32" s="13">
        <f>Test!D134</f>
        <v>46.988300000000002</v>
      </c>
      <c r="O32" s="13">
        <f>Test!E134</f>
        <v>44.0441</v>
      </c>
      <c r="P32" s="13">
        <f>Test!F134</f>
        <v>24794.23</v>
      </c>
      <c r="Q32" s="13">
        <f>Test!G134</f>
        <v>16.440000000000001</v>
      </c>
      <c r="R32" s="14">
        <f t="shared" si="1"/>
        <v>6.887286111111111</v>
      </c>
      <c r="S32" s="13">
        <f t="shared" si="2"/>
        <v>0.99657067752431217</v>
      </c>
      <c r="T32" s="13">
        <f t="shared" si="3"/>
        <v>0.98207885304659515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Reference!B135</f>
        <v>2078.7487999999998</v>
      </c>
      <c r="E33" s="13">
        <f>Reference!C135</f>
        <v>43.630899999999997</v>
      </c>
      <c r="F33" s="13">
        <f>Reference!D135</f>
        <v>44.062199999999997</v>
      </c>
      <c r="G33" s="13">
        <f>Reference!E135</f>
        <v>41.128900000000002</v>
      </c>
      <c r="H33" s="13">
        <f>Reference!F135</f>
        <v>17196.63</v>
      </c>
      <c r="I33" s="13">
        <f>Reference!G135</f>
        <v>13.95</v>
      </c>
      <c r="J33" s="14">
        <f t="shared" si="0"/>
        <v>4.7768416666666669</v>
      </c>
      <c r="K33" s="81"/>
      <c r="L33" s="12">
        <f>Test!B135</f>
        <v>2054.2303999999999</v>
      </c>
      <c r="M33" s="13">
        <f>Test!C135</f>
        <v>44.013599999999997</v>
      </c>
      <c r="N33" s="13">
        <f>Test!D135</f>
        <v>45.0184</v>
      </c>
      <c r="O33" s="13">
        <f>Test!E135</f>
        <v>41.237200000000001</v>
      </c>
      <c r="P33" s="13">
        <f>Test!F135</f>
        <v>17211.490000000002</v>
      </c>
      <c r="Q33" s="13">
        <f>Test!G135</f>
        <v>13.82</v>
      </c>
      <c r="R33" s="14">
        <f t="shared" si="1"/>
        <v>4.7809694444444446</v>
      </c>
      <c r="S33" s="13">
        <f t="shared" si="2"/>
        <v>1.0008641227961526</v>
      </c>
      <c r="T33" s="13">
        <f t="shared" si="3"/>
        <v>0.9906810035842295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Reference!B136</f>
        <v>1141.3</v>
      </c>
      <c r="E34" s="17">
        <f>Reference!C136</f>
        <v>42.3093</v>
      </c>
      <c r="F34" s="17">
        <f>Reference!D136</f>
        <v>42.559100000000001</v>
      </c>
      <c r="G34" s="17">
        <f>Reference!E136</f>
        <v>38.402900000000002</v>
      </c>
      <c r="H34" s="17">
        <f>Reference!F136</f>
        <v>9631.58</v>
      </c>
      <c r="I34" s="17">
        <f>Reference!G136</f>
        <v>11.18</v>
      </c>
      <c r="J34" s="18">
        <f t="shared" si="0"/>
        <v>2.6754388888888889</v>
      </c>
      <c r="K34" s="81"/>
      <c r="L34" s="16">
        <f>Test!B136</f>
        <v>1127.6088</v>
      </c>
      <c r="M34" s="17">
        <f>Test!C136</f>
        <v>42.771799999999999</v>
      </c>
      <c r="N34" s="17">
        <f>Test!D136</f>
        <v>43.486699999999999</v>
      </c>
      <c r="O34" s="17">
        <f>Test!E136</f>
        <v>38.485799999999998</v>
      </c>
      <c r="P34" s="17">
        <f>Test!F136</f>
        <v>9632.09</v>
      </c>
      <c r="Q34" s="17">
        <f>Test!G136</f>
        <v>11.53</v>
      </c>
      <c r="R34" s="18">
        <f t="shared" si="1"/>
        <v>2.6755805555555554</v>
      </c>
      <c r="S34" s="13">
        <f t="shared" si="2"/>
        <v>1.0000529508138851</v>
      </c>
      <c r="T34" s="13">
        <f t="shared" si="3"/>
        <v>1.0313059033989267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Reference!B137</f>
        <v>12654.1944</v>
      </c>
      <c r="E35" s="10">
        <f>Reference!C137</f>
        <v>41.672400000000003</v>
      </c>
      <c r="F35" s="10">
        <f>Reference!D137</f>
        <v>44.164999999999999</v>
      </c>
      <c r="G35" s="10">
        <f>Reference!E137</f>
        <v>41.623699999999999</v>
      </c>
      <c r="H35" s="10">
        <f>Reference!F137</f>
        <v>59355.33</v>
      </c>
      <c r="I35" s="10">
        <f>Reference!G137</f>
        <v>22.92</v>
      </c>
      <c r="J35" s="11">
        <f t="shared" ref="J35:J66" si="4">H35/3600</f>
        <v>16.487591666666667</v>
      </c>
      <c r="L35" s="9">
        <f>Test!B137</f>
        <v>12542.846799999999</v>
      </c>
      <c r="M35" s="10">
        <f>Test!C137</f>
        <v>41.7301</v>
      </c>
      <c r="N35" s="10">
        <f>Test!D137</f>
        <v>44.334400000000002</v>
      </c>
      <c r="O35" s="10">
        <f>Test!E137</f>
        <v>41.647799999999997</v>
      </c>
      <c r="P35" s="10">
        <f>Test!F137</f>
        <v>61474.18</v>
      </c>
      <c r="Q35" s="10">
        <f>Test!G137</f>
        <v>24.06</v>
      </c>
      <c r="R35" s="11">
        <f t="shared" ref="R35:R66" si="5">P35/3600</f>
        <v>17.076161111111112</v>
      </c>
      <c r="S35" s="13">
        <f t="shared" ref="S35:S66" si="6">P35/H35</f>
        <v>1.0356977208281042</v>
      </c>
      <c r="T35" s="13">
        <f t="shared" ref="T35:T66" si="7">Q35/I35</f>
        <v>1.0497382198952878</v>
      </c>
      <c r="U35" s="48"/>
      <c r="V35" s="30">
        <f>bdrate($D35:$D38,E35:E38,$L35:$L38,M35:M38)</f>
        <v>-9.8378177300525782E-2</v>
      </c>
      <c r="W35" s="35">
        <f>bdrate($D35:$D38,F35:F38,$L35:$L38,N35:N38)</f>
        <v>-0.10712539359811324</v>
      </c>
      <c r="X35" s="35">
        <f>bdrate($D35:$D38,G35:G38,$L35:$L38,O35:O38)</f>
        <v>-2.1824590087661688E-2</v>
      </c>
      <c r="Y35" s="33">
        <f>bdrateOld($D35:$D38,E35:E38,$L35:$L38,M35:M38)</f>
        <v>-9.3795794250360109E-2</v>
      </c>
      <c r="Z35" s="37">
        <f>bdrateOld($D35:$D38,F35:F38,$L35:$L38,N35:N38)</f>
        <v>-0.10693681963441848</v>
      </c>
      <c r="AA35" s="38">
        <f>bdrateOld($D35:$D38,G35:G38,$L35:$L38,O35:O38)</f>
        <v>-2.1901127370207774E-2</v>
      </c>
    </row>
    <row r="36" spans="1:27" x14ac:dyDescent="0.2">
      <c r="A36" s="25"/>
      <c r="B36" s="25"/>
      <c r="C36" s="25">
        <v>27</v>
      </c>
      <c r="D36" s="12">
        <f>Reference!B138</f>
        <v>5475.0810000000001</v>
      </c>
      <c r="E36" s="13">
        <f>Reference!C138</f>
        <v>39.412799999999997</v>
      </c>
      <c r="F36" s="13">
        <f>Reference!D138</f>
        <v>42.122599999999998</v>
      </c>
      <c r="G36" s="13">
        <f>Reference!E138</f>
        <v>38.908900000000003</v>
      </c>
      <c r="H36" s="13">
        <f>Reference!F138</f>
        <v>39956.370000000003</v>
      </c>
      <c r="I36" s="13">
        <f>Reference!G138</f>
        <v>17.53</v>
      </c>
      <c r="J36" s="14">
        <f t="shared" si="4"/>
        <v>11.098991666666667</v>
      </c>
      <c r="L36" s="12">
        <f>Test!B138</f>
        <v>5428.9261999999999</v>
      </c>
      <c r="M36" s="13">
        <f>Test!C138</f>
        <v>39.585099999999997</v>
      </c>
      <c r="N36" s="13">
        <f>Test!D138</f>
        <v>42.363399999999999</v>
      </c>
      <c r="O36" s="13">
        <f>Test!E138</f>
        <v>38.953000000000003</v>
      </c>
      <c r="P36" s="13">
        <f>Test!F138</f>
        <v>40598.339999999997</v>
      </c>
      <c r="Q36" s="13">
        <f>Test!G138</f>
        <v>17.39</v>
      </c>
      <c r="R36" s="14">
        <f t="shared" si="5"/>
        <v>11.277316666666666</v>
      </c>
      <c r="S36" s="13">
        <f t="shared" si="6"/>
        <v>1.0160667748346508</v>
      </c>
      <c r="T36" s="13">
        <f t="shared" si="7"/>
        <v>0.99201369081574442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Reference!B139</f>
        <v>2952.8476000000001</v>
      </c>
      <c r="E37" s="13">
        <f>Reference!C139</f>
        <v>38.405299999999997</v>
      </c>
      <c r="F37" s="13">
        <f>Reference!D139</f>
        <v>40.525599999999997</v>
      </c>
      <c r="G37" s="13">
        <f>Reference!E139</f>
        <v>36.9711</v>
      </c>
      <c r="H37" s="13">
        <f>Reference!F139</f>
        <v>25400.82</v>
      </c>
      <c r="I37" s="13">
        <f>Reference!G139</f>
        <v>14.02</v>
      </c>
      <c r="J37" s="14">
        <f t="shared" si="4"/>
        <v>7.0557833333333333</v>
      </c>
      <c r="L37" s="12">
        <f>Test!B139</f>
        <v>2926.3975999999998</v>
      </c>
      <c r="M37" s="13">
        <f>Test!C139</f>
        <v>38.655700000000003</v>
      </c>
      <c r="N37" s="13">
        <f>Test!D139</f>
        <v>40.793199999999999</v>
      </c>
      <c r="O37" s="13">
        <f>Test!E139</f>
        <v>37.019799999999996</v>
      </c>
      <c r="P37" s="13">
        <f>Test!F139</f>
        <v>26105.279999999999</v>
      </c>
      <c r="Q37" s="13">
        <f>Test!G139</f>
        <v>14.48</v>
      </c>
      <c r="R37" s="14">
        <f t="shared" si="5"/>
        <v>7.2514666666666665</v>
      </c>
      <c r="S37" s="13">
        <f t="shared" si="6"/>
        <v>1.0277337503277453</v>
      </c>
      <c r="T37" s="13">
        <f t="shared" si="7"/>
        <v>1.0328102710413696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Reference!B140</f>
        <v>1598.6619000000001</v>
      </c>
      <c r="E38" s="17">
        <f>Reference!C140</f>
        <v>37.610799999999998</v>
      </c>
      <c r="F38" s="17">
        <f>Reference!D140</f>
        <v>39.295699999999997</v>
      </c>
      <c r="G38" s="17">
        <f>Reference!E140</f>
        <v>34.858400000000003</v>
      </c>
      <c r="H38" s="17">
        <f>Reference!F140</f>
        <v>14923.87</v>
      </c>
      <c r="I38" s="17">
        <f>Reference!G140</f>
        <v>11.46</v>
      </c>
      <c r="J38" s="18">
        <f t="shared" si="4"/>
        <v>4.145519444444445</v>
      </c>
      <c r="L38" s="16">
        <f>Test!B140</f>
        <v>1580.2563</v>
      </c>
      <c r="M38" s="17">
        <f>Test!C140</f>
        <v>37.892899999999997</v>
      </c>
      <c r="N38" s="17">
        <f>Test!D140</f>
        <v>39.605899999999998</v>
      </c>
      <c r="O38" s="17">
        <f>Test!E140</f>
        <v>34.902099999999997</v>
      </c>
      <c r="P38" s="17">
        <f>Test!F140</f>
        <v>14875.76</v>
      </c>
      <c r="Q38" s="17">
        <f>Test!G140</f>
        <v>10.95</v>
      </c>
      <c r="R38" s="18">
        <f t="shared" si="5"/>
        <v>4.1321555555555554</v>
      </c>
      <c r="S38" s="13">
        <f t="shared" si="6"/>
        <v>0.99677630534171091</v>
      </c>
      <c r="T38" s="13">
        <f t="shared" si="7"/>
        <v>0.95549738219895275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Reference!B141</f>
        <v>7969.9840999999997</v>
      </c>
      <c r="E39" s="10">
        <f>Reference!C141</f>
        <v>44.589500000000001</v>
      </c>
      <c r="F39" s="10">
        <f>Reference!D141</f>
        <v>46.350900000000003</v>
      </c>
      <c r="G39" s="10">
        <f>Reference!E141</f>
        <v>47.651400000000002</v>
      </c>
      <c r="H39" s="10">
        <f>Reference!F141</f>
        <v>50987.48</v>
      </c>
      <c r="I39" s="10">
        <f>Reference!G141</f>
        <v>20.04</v>
      </c>
      <c r="J39" s="11">
        <f t="shared" si="4"/>
        <v>14.163188888888889</v>
      </c>
      <c r="L39" s="9">
        <f>Test!B141</f>
        <v>7945.3936999999996</v>
      </c>
      <c r="M39" s="10">
        <f>Test!C141</f>
        <v>44.671599999999998</v>
      </c>
      <c r="N39" s="10">
        <f>Test!D141</f>
        <v>46.551900000000003</v>
      </c>
      <c r="O39" s="10">
        <f>Test!E141</f>
        <v>42.454500000000003</v>
      </c>
      <c r="P39" s="10">
        <f>Test!F141</f>
        <v>51499.28</v>
      </c>
      <c r="Q39" s="10">
        <f>Test!G141</f>
        <v>20.55</v>
      </c>
      <c r="R39" s="11">
        <f t="shared" si="5"/>
        <v>14.305355555555556</v>
      </c>
      <c r="S39" s="13">
        <f t="shared" si="6"/>
        <v>1.0100377582888975</v>
      </c>
      <c r="T39" s="13">
        <f t="shared" si="7"/>
        <v>1.0254491017964074</v>
      </c>
      <c r="U39" s="48"/>
      <c r="V39" s="30" t="e">
        <f>bdrate($D39:$D42,E39:V42E42,$L39:$L42,M39:M42)</f>
        <v>#VALUE!</v>
      </c>
      <c r="W39" s="35">
        <f>bdrate($D39:$D42,F39:F42,$L39:$L42,N39:N42)</f>
        <v>4.7107031088029494E-3</v>
      </c>
      <c r="X39" s="35">
        <f>bdrate($D39:$D42,G39:G42,$L39:$L42,O39:O42)</f>
        <v>-0.99200908519200237</v>
      </c>
      <c r="Y39" s="33">
        <f>bdrateOld($D39:$D42,E39:E42,$L39:$L42,M39:M42)</f>
        <v>-1.1290930688847567E-2</v>
      </c>
      <c r="Z39" s="37">
        <f>bdrateOld($D39:$D42,F39:F42,$L39:$L42,N39:N42)</f>
        <v>1.277439836979982</v>
      </c>
      <c r="AA39" s="38">
        <f>bdrateOld($D39:$D42,G39:G42,$L39:$L42,O39:O42)</f>
        <v>7.0770053874232852E-2</v>
      </c>
    </row>
    <row r="40" spans="1:27" x14ac:dyDescent="0.2">
      <c r="A40" s="25"/>
      <c r="B40" s="25"/>
      <c r="C40" s="25">
        <v>27</v>
      </c>
      <c r="D40" s="12">
        <f>Reference!B142</f>
        <v>3352.1976</v>
      </c>
      <c r="E40" s="13">
        <f>Reference!C142</f>
        <v>43.218600000000002</v>
      </c>
      <c r="F40" s="13">
        <f>Reference!D142</f>
        <v>44.283799999999999</v>
      </c>
      <c r="G40" s="13">
        <f>Reference!E142</f>
        <v>40.187899999999999</v>
      </c>
      <c r="H40" s="13">
        <f>Reference!F142</f>
        <v>33350.769999999997</v>
      </c>
      <c r="I40" s="13">
        <f>Reference!G142</f>
        <v>15.53</v>
      </c>
      <c r="J40" s="14">
        <f t="shared" si="4"/>
        <v>9.2641027777777776</v>
      </c>
      <c r="L40" s="12">
        <f>Test!B142</f>
        <v>3335.8182999999999</v>
      </c>
      <c r="M40" s="13">
        <f>Test!C142</f>
        <v>43.361899999999999</v>
      </c>
      <c r="N40" s="13">
        <f>Test!D142</f>
        <v>44.539499999999997</v>
      </c>
      <c r="O40" s="13">
        <f>Test!E142</f>
        <v>40.217300000000002</v>
      </c>
      <c r="P40" s="13">
        <f>Test!F142</f>
        <v>34059.589999999997</v>
      </c>
      <c r="Q40" s="13">
        <f>Test!G142</f>
        <v>15.48</v>
      </c>
      <c r="R40" s="14">
        <f t="shared" si="5"/>
        <v>9.4609972222222218</v>
      </c>
      <c r="S40" s="13">
        <f t="shared" si="6"/>
        <v>1.0212534823034072</v>
      </c>
      <c r="T40" s="13">
        <f t="shared" si="7"/>
        <v>0.99678042498390218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122">
        <v>32</v>
      </c>
      <c r="D41" s="123">
        <v>13460.4</v>
      </c>
      <c r="E41" s="124">
        <v>39.097900000000003</v>
      </c>
      <c r="F41" s="124">
        <v>44.094200000000001</v>
      </c>
      <c r="G41" s="124">
        <v>45.076900000000002</v>
      </c>
      <c r="H41" s="13">
        <f>Reference!F143</f>
        <v>18847.009999999998</v>
      </c>
      <c r="I41" s="13">
        <f>Reference!G143</f>
        <v>12.41</v>
      </c>
      <c r="J41" s="14">
        <f t="shared" si="4"/>
        <v>5.2352805555555548</v>
      </c>
      <c r="L41" s="123">
        <v>13440.4</v>
      </c>
      <c r="M41" s="124">
        <v>39.090200000000003</v>
      </c>
      <c r="N41" s="124">
        <v>44.073099999999997</v>
      </c>
      <c r="O41" s="124">
        <v>45.0762</v>
      </c>
      <c r="P41" s="124">
        <f>Test!F143</f>
        <v>19175.439999999999</v>
      </c>
      <c r="Q41" s="13">
        <f>Test!G143</f>
        <v>12.41</v>
      </c>
      <c r="R41" s="14">
        <f t="shared" si="5"/>
        <v>5.3265111111111105</v>
      </c>
      <c r="S41" s="13">
        <f t="shared" si="6"/>
        <v>1.0174261063160681</v>
      </c>
      <c r="T41" s="13">
        <f t="shared" si="7"/>
        <v>1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125">
        <v>37</v>
      </c>
      <c r="D42" s="126">
        <v>7347.2</v>
      </c>
      <c r="E42" s="127">
        <v>37.702500000000001</v>
      </c>
      <c r="F42" s="127">
        <v>42.534999999999997</v>
      </c>
      <c r="G42" s="127">
        <v>42.8262</v>
      </c>
      <c r="H42" s="17">
        <f>Reference!F144</f>
        <v>9269.2900000000009</v>
      </c>
      <c r="I42" s="17">
        <f>Reference!G144</f>
        <v>10.35</v>
      </c>
      <c r="J42" s="18">
        <f t="shared" si="4"/>
        <v>2.5748027777777782</v>
      </c>
      <c r="L42" s="126">
        <v>7398.4</v>
      </c>
      <c r="M42" s="127">
        <v>37.713799999999999</v>
      </c>
      <c r="N42" s="127">
        <v>42.495899999999999</v>
      </c>
      <c r="O42" s="127">
        <v>42.817</v>
      </c>
      <c r="P42" s="127">
        <f>Test!F144</f>
        <v>9343.8799999999992</v>
      </c>
      <c r="Q42" s="17">
        <f>Test!G144</f>
        <v>10.43</v>
      </c>
      <c r="R42" s="18">
        <f t="shared" si="5"/>
        <v>2.5955222222222218</v>
      </c>
      <c r="S42" s="13">
        <f t="shared" si="6"/>
        <v>1.0080470025212285</v>
      </c>
      <c r="T42" s="13">
        <f t="shared" si="7"/>
        <v>1.0077294685990339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Reference!B145</f>
        <v>21139.173599999998</v>
      </c>
      <c r="E43" s="10">
        <f>Reference!C145</f>
        <v>42.760399999999997</v>
      </c>
      <c r="F43" s="10">
        <f>Reference!D145</f>
        <v>44.570500000000003</v>
      </c>
      <c r="G43" s="10">
        <f>Reference!E145</f>
        <v>42.848599999999998</v>
      </c>
      <c r="H43" s="10">
        <f>Reference!F145</f>
        <v>44585.78</v>
      </c>
      <c r="I43" s="10">
        <f>Reference!G145</f>
        <v>33.409999999999997</v>
      </c>
      <c r="J43" s="11">
        <f t="shared" si="4"/>
        <v>12.384938888888888</v>
      </c>
      <c r="L43" s="9">
        <f>Test!B145</f>
        <v>21088.039199999999</v>
      </c>
      <c r="M43" s="10">
        <f>Test!C145</f>
        <v>42.821800000000003</v>
      </c>
      <c r="N43" s="10">
        <f>Test!D145</f>
        <v>44.653500000000001</v>
      </c>
      <c r="O43" s="10">
        <f>Test!E145</f>
        <v>42.868000000000002</v>
      </c>
      <c r="P43" s="10">
        <f>Test!F145</f>
        <v>46057.63</v>
      </c>
      <c r="Q43" s="10">
        <f>Test!G145</f>
        <v>33.380000000000003</v>
      </c>
      <c r="R43" s="11">
        <f t="shared" si="5"/>
        <v>12.79378611111111</v>
      </c>
      <c r="S43" s="13">
        <f t="shared" si="6"/>
        <v>1.0330116463141388</v>
      </c>
      <c r="T43" s="13">
        <f t="shared" si="7"/>
        <v>0.9991020652499254</v>
      </c>
      <c r="U43" s="48"/>
      <c r="V43" s="30" t="e">
        <f>bdrate($D43:$D46,E43:V46E46,$L45:Z46,M43:M46)</f>
        <v>#VALUE!</v>
      </c>
      <c r="W43" s="35">
        <f>bdrate($D43:$D46,F43:F46,$L43:$L46,N43:N46)</f>
        <v>-9.9632656498975569E-2</v>
      </c>
      <c r="X43" s="35">
        <f>bdrate($D43:$D46,G43:G46,$L43:$L46,O43:O46)</f>
        <v>7.0734075954597797E-2</v>
      </c>
      <c r="Y43" s="33">
        <f>bdrateOld($D43:$D46,E43:E46,$L43:$L46,M43:M46)</f>
        <v>-8.5433499806442548E-2</v>
      </c>
      <c r="Z43" s="37">
        <f>bdrateOld($D43:$D46,F43:F46,$L43:$L46,N43:N46)</f>
        <v>-9.8700897362396511E-2</v>
      </c>
      <c r="AA43" s="38">
        <f>bdrateOld($D43:$D46,G43:G46,$L43:$L46,O43:O46)</f>
        <v>-3.1026261842516445E-2</v>
      </c>
    </row>
    <row r="44" spans="1:27" x14ac:dyDescent="0.2">
      <c r="A44" s="25"/>
      <c r="B44" s="25"/>
      <c r="C44" s="25">
        <v>27</v>
      </c>
      <c r="D44" s="12">
        <f>Reference!B146</f>
        <v>8384.9536000000007</v>
      </c>
      <c r="E44" s="13">
        <f>Reference!C146</f>
        <v>40.9285</v>
      </c>
      <c r="F44" s="13">
        <f>Reference!D146</f>
        <v>43.180799999999998</v>
      </c>
      <c r="G44" s="13">
        <f>Reference!E146</f>
        <v>38.2164</v>
      </c>
      <c r="H44" s="13">
        <f>Reference!F146</f>
        <v>50547.63</v>
      </c>
      <c r="I44" s="13">
        <f>Reference!G146</f>
        <v>22.36</v>
      </c>
      <c r="J44" s="14">
        <f t="shared" si="4"/>
        <v>14.041008333333332</v>
      </c>
      <c r="L44" s="12">
        <f>Test!B146</f>
        <v>8365.5488000000005</v>
      </c>
      <c r="M44" s="13">
        <f>Test!C146</f>
        <v>41.071800000000003</v>
      </c>
      <c r="N44" s="13">
        <f>Test!D146</f>
        <v>43.320799999999998</v>
      </c>
      <c r="O44" s="13">
        <f>Test!E146</f>
        <v>38.235799999999998</v>
      </c>
      <c r="P44" s="13">
        <f>Test!F146</f>
        <v>51140.28</v>
      </c>
      <c r="Q44" s="13">
        <f>Test!G146</f>
        <v>21.67</v>
      </c>
      <c r="R44" s="14">
        <f t="shared" si="5"/>
        <v>14.205633333333333</v>
      </c>
      <c r="S44" s="13">
        <f t="shared" si="6"/>
        <v>1.011724585306967</v>
      </c>
      <c r="T44" s="13">
        <f t="shared" si="7"/>
        <v>0.96914132379248663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Reference!B147</f>
        <v>4167.4319999999998</v>
      </c>
      <c r="E45" s="13">
        <f>Reference!C147</f>
        <v>39.576700000000002</v>
      </c>
      <c r="F45" s="13">
        <f>Reference!D147</f>
        <v>42.1554</v>
      </c>
      <c r="G45" s="13">
        <f>Reference!E147</f>
        <v>35.94</v>
      </c>
      <c r="H45" s="13">
        <f>Reference!F147</f>
        <v>33778.93</v>
      </c>
      <c r="I45" s="13">
        <f>Reference!G147</f>
        <v>16.77</v>
      </c>
      <c r="J45" s="14">
        <f t="shared" si="4"/>
        <v>9.383036111111112</v>
      </c>
      <c r="L45" s="12">
        <f>Test!B147</f>
        <v>4161.1023999999998</v>
      </c>
      <c r="M45" s="13">
        <f>Test!C147</f>
        <v>39.7928</v>
      </c>
      <c r="N45" s="13">
        <f>Test!D147</f>
        <v>42.323900000000002</v>
      </c>
      <c r="O45" s="13">
        <f>Test!E147</f>
        <v>35.961399999999998</v>
      </c>
      <c r="P45" s="13">
        <f>Test!F147</f>
        <v>34831.589999999997</v>
      </c>
      <c r="Q45" s="13">
        <f>Test!G147</f>
        <v>17.2</v>
      </c>
      <c r="R45" s="14">
        <f t="shared" si="5"/>
        <v>9.6754416666666661</v>
      </c>
      <c r="S45" s="13">
        <f t="shared" si="6"/>
        <v>1.0311632132811783</v>
      </c>
      <c r="T45" s="13">
        <f t="shared" si="7"/>
        <v>1.0256410256410255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Reference!B148</f>
        <v>2189.1368000000002</v>
      </c>
      <c r="E46" s="17">
        <f>Reference!C148</f>
        <v>38.645000000000003</v>
      </c>
      <c r="F46" s="17">
        <f>Reference!D148</f>
        <v>41.399000000000001</v>
      </c>
      <c r="G46" s="17">
        <f>Reference!E148</f>
        <v>47.651400000000002</v>
      </c>
      <c r="H46" s="17">
        <f>Reference!F148</f>
        <v>20733.009999999998</v>
      </c>
      <c r="I46" s="17">
        <f>Reference!G148</f>
        <v>13.29</v>
      </c>
      <c r="J46" s="18">
        <f t="shared" si="4"/>
        <v>5.7591694444444439</v>
      </c>
      <c r="L46" s="16">
        <f>Test!B148</f>
        <v>2187.7719999999999</v>
      </c>
      <c r="M46" s="17">
        <f>Test!C148</f>
        <v>38.881599999999999</v>
      </c>
      <c r="N46" s="17">
        <f>Test!D148</f>
        <v>41.573700000000002</v>
      </c>
      <c r="O46" s="17">
        <f>Test!E148</f>
        <v>33.746299999999998</v>
      </c>
      <c r="P46" s="17">
        <f>Test!F148</f>
        <v>20944.89</v>
      </c>
      <c r="Q46" s="17">
        <f>Test!G148</f>
        <v>12.91</v>
      </c>
      <c r="R46" s="18">
        <f t="shared" si="5"/>
        <v>5.8180249999999996</v>
      </c>
      <c r="S46" s="13">
        <f t="shared" si="6"/>
        <v>1.0102194519753764</v>
      </c>
      <c r="T46" s="13">
        <f t="shared" si="7"/>
        <v>0.97140707298720852</v>
      </c>
      <c r="U46" s="48"/>
      <c r="V46" s="32"/>
      <c r="W46" s="44"/>
      <c r="X46" s="44"/>
      <c r="Y46" s="32"/>
      <c r="Z46" s="44"/>
      <c r="AA46" s="45"/>
    </row>
    <row r="47" spans="1:27" ht="12.75" thickBot="1" x14ac:dyDescent="0.25">
      <c r="A47" s="24" t="s">
        <v>9</v>
      </c>
      <c r="B47" s="119" t="s">
        <v>44</v>
      </c>
      <c r="C47" s="119">
        <v>22</v>
      </c>
      <c r="D47" s="120">
        <f>Reference!B149</f>
        <v>29328.799999999999</v>
      </c>
      <c r="E47" s="121">
        <f>Reference!C149</f>
        <v>45.1631</v>
      </c>
      <c r="F47" s="121">
        <f>Reference!D149</f>
        <v>46.451999999999998</v>
      </c>
      <c r="G47" s="121">
        <f>Reference!E149</f>
        <v>47.651400000000002</v>
      </c>
      <c r="H47" s="10">
        <f>Reference!F149</f>
        <v>10453.43</v>
      </c>
      <c r="I47" s="10">
        <f>Reference!G149</f>
        <v>6.03</v>
      </c>
      <c r="J47" s="11">
        <f t="shared" si="4"/>
        <v>2.9037305555555557</v>
      </c>
      <c r="K47" s="81"/>
      <c r="L47" s="120">
        <f>Test!B149</f>
        <v>29296.799999999999</v>
      </c>
      <c r="M47" s="121">
        <f>Test!C149</f>
        <v>45.168999999999997</v>
      </c>
      <c r="N47" s="121">
        <f>Test!D149</f>
        <v>46.417999999999999</v>
      </c>
      <c r="O47" s="121">
        <f>Test!E149</f>
        <v>47.594999999999999</v>
      </c>
      <c r="P47" s="10">
        <f>Test!F149</f>
        <v>10629.44</v>
      </c>
      <c r="Q47" s="10">
        <f>Test!G149</f>
        <v>6.05</v>
      </c>
      <c r="R47" s="11">
        <f t="shared" si="5"/>
        <v>2.9526222222222223</v>
      </c>
      <c r="S47" s="10">
        <f t="shared" si="6"/>
        <v>1.016837535622279</v>
      </c>
      <c r="T47" s="10">
        <f t="shared" si="7"/>
        <v>1.0033167495854063</v>
      </c>
      <c r="U47" s="80"/>
      <c r="V47" s="30">
        <f>bdrate($D47:$D50,E47:E50,$L47:$L50,M47:M50)</f>
        <v>-6.3882346560906189E-4</v>
      </c>
      <c r="W47" s="84">
        <f>bdrate($D47:$D50,F47:F50,$L47:$L50,N47:N50)</f>
        <v>8.6474021116549338E-3</v>
      </c>
      <c r="X47" s="35">
        <f>bdrate($D47:$D50,G47:G50,$L47:$L50,O47:O50)</f>
        <v>1.419984766466964E-2</v>
      </c>
      <c r="Y47" s="30">
        <f>bdrateOld($D47:$D50,E47:E50,$L47:$L50,M47:M50)</f>
        <v>-7.3206456031571498E-4</v>
      </c>
      <c r="Z47" s="35">
        <f>bdrateOld($D47:$D50,F47:F50,$L47:$L50,N47:N50)</f>
        <v>8.541628493714537E-3</v>
      </c>
      <c r="AA47" s="36">
        <f>bdrateOld($D47:$D50,G47:G50,$L47:$L50,O47:O50)</f>
        <v>1.341740554157278E-2</v>
      </c>
    </row>
    <row r="48" spans="1:27" ht="12.75" thickBot="1" x14ac:dyDescent="0.25">
      <c r="A48" s="25" t="s">
        <v>71</v>
      </c>
      <c r="B48" s="122"/>
      <c r="C48" s="122">
        <v>27</v>
      </c>
      <c r="D48" s="123">
        <f>Reference!B150</f>
        <v>15431.6</v>
      </c>
      <c r="E48" s="124">
        <f>Reference!C150</f>
        <v>41.675899999999999</v>
      </c>
      <c r="F48" s="124">
        <f>Reference!D150</f>
        <v>44.579599999999999</v>
      </c>
      <c r="G48" s="124">
        <f>Reference!E150</f>
        <v>45.7515</v>
      </c>
      <c r="H48" s="13">
        <f>Reference!F150</f>
        <v>8162.86</v>
      </c>
      <c r="I48" s="13">
        <f>Reference!G150</f>
        <v>4.03</v>
      </c>
      <c r="J48" s="14">
        <f t="shared" si="4"/>
        <v>2.2674611111111109</v>
      </c>
      <c r="K48" s="81"/>
      <c r="L48" s="123">
        <f>Test!B150</f>
        <v>15417.6</v>
      </c>
      <c r="M48" s="124">
        <f>Test!C150</f>
        <v>41.671999999999997</v>
      </c>
      <c r="N48" s="124">
        <f>Test!D150</f>
        <v>44.527999999999999</v>
      </c>
      <c r="O48" s="124">
        <f>Test!E150</f>
        <v>45.633000000000003</v>
      </c>
      <c r="P48" s="13">
        <f>Test!F150</f>
        <v>8339.85</v>
      </c>
      <c r="Q48" s="13">
        <f>Test!G150</f>
        <v>4.16</v>
      </c>
      <c r="R48" s="14">
        <f t="shared" si="5"/>
        <v>2.3166250000000002</v>
      </c>
      <c r="S48" s="13">
        <f t="shared" si="6"/>
        <v>1.0216823515287534</v>
      </c>
      <c r="T48" s="13">
        <f t="shared" si="7"/>
        <v>1.032258064516129</v>
      </c>
      <c r="U48" s="81"/>
      <c r="V48" s="86"/>
      <c r="W48" s="84"/>
      <c r="X48" s="88"/>
      <c r="Y48" s="31"/>
      <c r="Z48" s="29"/>
      <c r="AA48" s="43"/>
    </row>
    <row r="49" spans="1:27" ht="12.75" thickBot="1" x14ac:dyDescent="0.25">
      <c r="A49" s="25"/>
      <c r="B49" s="122"/>
      <c r="C49" s="122">
        <v>32</v>
      </c>
      <c r="D49" s="123">
        <f>Reference!B151</f>
        <v>8179.6</v>
      </c>
      <c r="E49" s="124">
        <f>Reference!C151</f>
        <v>38.5991</v>
      </c>
      <c r="F49" s="124">
        <f>Reference!D151</f>
        <v>42.344000000000001</v>
      </c>
      <c r="G49" s="124">
        <f>Reference!E151</f>
        <v>43.406500000000001</v>
      </c>
      <c r="H49" s="13">
        <f>Reference!F151</f>
        <v>5935.31</v>
      </c>
      <c r="I49" s="13">
        <f>Reference!G151</f>
        <v>3.1</v>
      </c>
      <c r="J49" s="14">
        <f t="shared" si="4"/>
        <v>1.6486972222222223</v>
      </c>
      <c r="K49" s="81"/>
      <c r="L49" s="123">
        <f>Test!B151</f>
        <v>8142.8</v>
      </c>
      <c r="M49" s="124">
        <f>Test!C151</f>
        <v>38.573700000000002</v>
      </c>
      <c r="N49" s="124">
        <f>Test!D151</f>
        <v>42.314100000000003</v>
      </c>
      <c r="O49" s="124">
        <f>Test!E151</f>
        <v>43.365000000000002</v>
      </c>
      <c r="P49" s="13">
        <f>Test!F151</f>
        <v>6110.46</v>
      </c>
      <c r="Q49" s="13">
        <f>Test!G151</f>
        <v>3.12</v>
      </c>
      <c r="R49" s="14">
        <f t="shared" si="5"/>
        <v>1.6973499999999999</v>
      </c>
      <c r="S49" s="13">
        <f t="shared" si="6"/>
        <v>1.0295098318369216</v>
      </c>
      <c r="T49" s="13">
        <f t="shared" si="7"/>
        <v>1.0064516129032257</v>
      </c>
      <c r="U49" s="81"/>
      <c r="V49" s="86"/>
      <c r="W49" s="84"/>
      <c r="X49" s="88"/>
      <c r="Y49" s="31"/>
      <c r="Z49" s="29"/>
      <c r="AA49" s="43"/>
    </row>
    <row r="50" spans="1:27" ht="12.75" customHeight="1" thickBot="1" x14ac:dyDescent="0.25">
      <c r="A50" s="25"/>
      <c r="B50" s="125"/>
      <c r="C50" s="125">
        <v>37</v>
      </c>
      <c r="D50" s="126">
        <f>Reference!B152</f>
        <v>4338.3999999999996</v>
      </c>
      <c r="E50" s="127">
        <f>Reference!C152</f>
        <v>35.8645</v>
      </c>
      <c r="F50" s="127">
        <f>Reference!D152</f>
        <v>40.104700000000001</v>
      </c>
      <c r="G50" s="127">
        <f>Reference!E152</f>
        <v>40.803699999999999</v>
      </c>
      <c r="H50" s="17">
        <f>Reference!F152</f>
        <v>3497.21</v>
      </c>
      <c r="I50" s="17">
        <f>Reference!G152</f>
        <v>2.33</v>
      </c>
      <c r="J50" s="18">
        <f t="shared" si="4"/>
        <v>0.97144722222222224</v>
      </c>
      <c r="K50" s="81"/>
      <c r="L50" s="126">
        <f>Test!B152</f>
        <v>4278</v>
      </c>
      <c r="M50" s="127">
        <f>Test!C152</f>
        <v>35.832000000000001</v>
      </c>
      <c r="N50" s="127">
        <f>Test!D152</f>
        <v>40.043399999999998</v>
      </c>
      <c r="O50" s="127">
        <f>Test!E152</f>
        <v>40.807299999999998</v>
      </c>
      <c r="P50" s="17">
        <f>Test!F152</f>
        <v>3524.38</v>
      </c>
      <c r="Q50" s="17">
        <f>Test!G152</f>
        <v>2.42</v>
      </c>
      <c r="R50" s="18">
        <f t="shared" si="5"/>
        <v>0.9789944444444445</v>
      </c>
      <c r="S50" s="13">
        <f t="shared" si="6"/>
        <v>1.0077690501857195</v>
      </c>
      <c r="T50" s="13">
        <f t="shared" si="7"/>
        <v>1.03862660944206</v>
      </c>
      <c r="U50" s="81"/>
      <c r="V50" s="89"/>
      <c r="W50" s="84"/>
      <c r="X50" s="91"/>
      <c r="Y50" s="32"/>
      <c r="Z50" s="44"/>
      <c r="AA50" s="45"/>
    </row>
    <row r="51" spans="1:27" x14ac:dyDescent="0.2">
      <c r="A51" s="25"/>
      <c r="B51" s="119" t="s">
        <v>45</v>
      </c>
      <c r="C51" s="119">
        <v>22</v>
      </c>
      <c r="D51" s="120">
        <v>41348.639999999999</v>
      </c>
      <c r="E51" s="121" t="s">
        <v>915</v>
      </c>
      <c r="F51" s="121">
        <v>45.842199999999998</v>
      </c>
      <c r="G51" s="121">
        <v>47.232199999999999</v>
      </c>
      <c r="H51" s="10">
        <f>Reference!F153</f>
        <v>12512.8</v>
      </c>
      <c r="I51" s="10">
        <f>Reference!G153</f>
        <v>5.35</v>
      </c>
      <c r="J51" s="11">
        <f t="shared" si="4"/>
        <v>3.4757777777777776</v>
      </c>
      <c r="K51" s="81"/>
      <c r="L51" s="120">
        <v>41325.120000000003</v>
      </c>
      <c r="M51" s="121">
        <v>44.6432</v>
      </c>
      <c r="N51" s="121">
        <v>45.823700000000002</v>
      </c>
      <c r="O51" s="121">
        <v>47.226500000000001</v>
      </c>
      <c r="P51" s="10">
        <f>Test!F153</f>
        <v>12871.27</v>
      </c>
      <c r="Q51" s="10">
        <f>Test!G153</f>
        <v>5.46</v>
      </c>
      <c r="R51" s="11">
        <f t="shared" si="5"/>
        <v>3.5753527777777778</v>
      </c>
      <c r="S51" s="13">
        <f t="shared" si="6"/>
        <v>1.0286482641774823</v>
      </c>
      <c r="T51" s="13">
        <f t="shared" si="7"/>
        <v>1.0205607476635514</v>
      </c>
      <c r="U51" s="83"/>
      <c r="V51" s="15" t="e">
        <f>bdrate($D51:$D54,E51:E54,$L51:$L54,M51:M54)</f>
        <v>#VALUE!</v>
      </c>
      <c r="W51" s="84">
        <f>bdrate($D51:$D54,F51:F54,$L51:$L54,N51:N54)</f>
        <v>6.6558995551053712E-3</v>
      </c>
      <c r="X51" s="35">
        <f>bdrate($D51:$D54,G51:G54,$L51:$L54,O51:O54)</f>
        <v>1.7578607154515868E-3</v>
      </c>
      <c r="Y51" s="33" t="e">
        <f>bdrateOld($D51:$D54,E51:E54,$L51:$L54,M51:M54)</f>
        <v>#VALUE!</v>
      </c>
      <c r="Z51" s="37">
        <f>bdrateOld($D51:$D54,F51:F54,$L51:$L54,N51:N54)</f>
        <v>6.6717024309506101E-3</v>
      </c>
      <c r="AA51" s="38">
        <f>bdrateOld($D51:$D54,G51:G54,$L51:$L54,O51:O54)</f>
        <v>9.7628463214505246E-4</v>
      </c>
    </row>
    <row r="52" spans="1:27" x14ac:dyDescent="0.2">
      <c r="A52" s="25"/>
      <c r="B52" s="122"/>
      <c r="C52" s="122">
        <v>27</v>
      </c>
      <c r="D52" s="123">
        <v>23931.84</v>
      </c>
      <c r="E52" s="124">
        <v>41.360799999999998</v>
      </c>
      <c r="F52" s="124">
        <v>43.927799999999998</v>
      </c>
      <c r="G52" s="124">
        <v>45.383800000000001</v>
      </c>
      <c r="H52" s="13">
        <f>Reference!F154</f>
        <v>9255.0300000000007</v>
      </c>
      <c r="I52" s="13">
        <f>Reference!G154</f>
        <v>4.57</v>
      </c>
      <c r="J52" s="14">
        <f t="shared" si="4"/>
        <v>2.5708416666666669</v>
      </c>
      <c r="K52" s="81"/>
      <c r="L52" s="123">
        <v>23895.84</v>
      </c>
      <c r="M52" s="124">
        <v>41.355800000000002</v>
      </c>
      <c r="N52" s="124">
        <v>43.900199999999998</v>
      </c>
      <c r="O52" s="124">
        <v>45.2926</v>
      </c>
      <c r="P52" s="13">
        <f>Test!F154</f>
        <v>9131.67</v>
      </c>
      <c r="Q52" s="13">
        <f>Test!G154</f>
        <v>4.25</v>
      </c>
      <c r="R52" s="14">
        <f t="shared" si="5"/>
        <v>2.536575</v>
      </c>
      <c r="S52" s="13">
        <f t="shared" si="6"/>
        <v>0.98667103186051253</v>
      </c>
      <c r="T52" s="13">
        <f t="shared" si="7"/>
        <v>0.92997811816192555</v>
      </c>
      <c r="U52" s="81"/>
      <c r="V52" s="86"/>
      <c r="W52" s="87"/>
      <c r="X52" s="87"/>
      <c r="Y52" s="31"/>
      <c r="Z52" s="29"/>
      <c r="AA52" s="43"/>
    </row>
    <row r="53" spans="1:27" x14ac:dyDescent="0.2">
      <c r="A53" s="25"/>
      <c r="B53" s="122"/>
      <c r="C53" s="122">
        <v>32</v>
      </c>
      <c r="D53" s="123">
        <v>14613.6</v>
      </c>
      <c r="E53" s="124">
        <v>38.357100000000003</v>
      </c>
      <c r="F53" s="124">
        <v>41.900300000000001</v>
      </c>
      <c r="G53" s="124">
        <v>42.918999999999997</v>
      </c>
      <c r="H53" s="13">
        <f>Reference!F155</f>
        <v>6970.14</v>
      </c>
      <c r="I53" s="13">
        <f>Reference!G155</f>
        <v>3.53</v>
      </c>
      <c r="J53" s="14">
        <f t="shared" si="4"/>
        <v>1.93615</v>
      </c>
      <c r="K53" s="81"/>
      <c r="L53" s="123">
        <v>14632.32</v>
      </c>
      <c r="M53" s="124">
        <v>38.347200000000001</v>
      </c>
      <c r="N53" s="124">
        <v>41.8812</v>
      </c>
      <c r="O53" s="124">
        <v>42.942900000000002</v>
      </c>
      <c r="P53" s="13">
        <f>Test!F155</f>
        <v>6848.09</v>
      </c>
      <c r="Q53" s="13">
        <f>Test!G155</f>
        <v>3.41</v>
      </c>
      <c r="R53" s="14">
        <f t="shared" si="5"/>
        <v>1.9022472222222222</v>
      </c>
      <c r="S53" s="13">
        <f t="shared" si="6"/>
        <v>0.98248959131380431</v>
      </c>
      <c r="T53" s="13">
        <f t="shared" si="7"/>
        <v>0.96600566572237967</v>
      </c>
      <c r="U53" s="81"/>
      <c r="V53" s="86"/>
      <c r="W53" s="87"/>
      <c r="X53" s="87"/>
      <c r="Y53" s="31"/>
      <c r="Z53" s="29"/>
      <c r="AA53" s="43"/>
    </row>
    <row r="54" spans="1:27" ht="12.75" customHeight="1" thickBot="1" x14ac:dyDescent="0.25">
      <c r="A54" s="25"/>
      <c r="B54" s="125"/>
      <c r="C54" s="125">
        <v>37</v>
      </c>
      <c r="D54" s="126">
        <v>8497.92</v>
      </c>
      <c r="E54" s="127">
        <v>35.071599999999997</v>
      </c>
      <c r="F54" s="127">
        <v>39.722099999999998</v>
      </c>
      <c r="G54" s="127">
        <v>40.608699999999999</v>
      </c>
      <c r="H54" s="17">
        <f>Reference!F156</f>
        <v>4801.74</v>
      </c>
      <c r="I54" s="17">
        <f>Reference!G156</f>
        <v>2.68</v>
      </c>
      <c r="J54" s="18">
        <f t="shared" si="4"/>
        <v>1.3338166666666667</v>
      </c>
      <c r="K54" s="81"/>
      <c r="L54" s="126">
        <v>8501.2800000000007</v>
      </c>
      <c r="M54" s="127">
        <v>35.081000000000003</v>
      </c>
      <c r="N54" s="127">
        <v>39.673299999999998</v>
      </c>
      <c r="O54" s="127">
        <v>40.743400000000001</v>
      </c>
      <c r="P54" s="17">
        <f>Test!F156</f>
        <v>4658.79</v>
      </c>
      <c r="Q54" s="17">
        <f>Test!G156</f>
        <v>2.73</v>
      </c>
      <c r="R54" s="18">
        <f t="shared" si="5"/>
        <v>1.2941083333333334</v>
      </c>
      <c r="S54" s="13">
        <f t="shared" si="6"/>
        <v>0.97022954179110077</v>
      </c>
      <c r="T54" s="13">
        <f t="shared" si="7"/>
        <v>1.0186567164179103</v>
      </c>
      <c r="U54" s="81"/>
      <c r="V54" s="89"/>
      <c r="W54" s="90"/>
      <c r="X54" s="90"/>
      <c r="Y54" s="32"/>
      <c r="Z54" s="44"/>
      <c r="AA54" s="45"/>
    </row>
    <row r="55" spans="1:27" x14ac:dyDescent="0.2">
      <c r="A55" s="25"/>
      <c r="B55" s="119" t="s">
        <v>72</v>
      </c>
      <c r="C55" s="119">
        <v>22</v>
      </c>
      <c r="D55" s="120">
        <v>66234</v>
      </c>
      <c r="E55" s="121">
        <v>45.002000000000002</v>
      </c>
      <c r="F55" s="121">
        <v>45.532899999999998</v>
      </c>
      <c r="G55" s="121">
        <v>46.151000000000003</v>
      </c>
      <c r="H55" s="10">
        <f>Reference!F157</f>
        <v>12100.81</v>
      </c>
      <c r="I55" s="10">
        <f>Reference!G157</f>
        <v>7.35</v>
      </c>
      <c r="J55" s="11">
        <f t="shared" si="4"/>
        <v>3.3613361111111111</v>
      </c>
      <c r="K55" s="81"/>
      <c r="L55" s="120">
        <v>66208.800000000003</v>
      </c>
      <c r="M55" s="121">
        <v>45.016300000000001</v>
      </c>
      <c r="N55" s="121">
        <v>45.486199999999997</v>
      </c>
      <c r="O55" s="121">
        <v>46.073599999999999</v>
      </c>
      <c r="P55" s="10">
        <f>Test!F157</f>
        <v>12644.73</v>
      </c>
      <c r="Q55" s="10">
        <f>Test!G157</f>
        <v>7.57</v>
      </c>
      <c r="R55" s="11">
        <f t="shared" si="5"/>
        <v>3.5124249999999999</v>
      </c>
      <c r="S55" s="13">
        <f t="shared" si="6"/>
        <v>1.0449490571292335</v>
      </c>
      <c r="T55" s="13">
        <f t="shared" si="7"/>
        <v>1.0299319727891156</v>
      </c>
      <c r="U55" s="81"/>
      <c r="V55" s="83">
        <f>bdrate($D55:$D58,E55:E58,$L55:$L58,M55:M58)</f>
        <v>1.3660961045998121E-3</v>
      </c>
      <c r="W55" s="84">
        <f>bdrate($D55:$D58,F55:F58,$L55:$L58,N55:N58)</f>
        <v>7.3067895882246159E-3</v>
      </c>
      <c r="X55" s="84">
        <f>bdrate($D55:$D58,G55:G58,$L55:$L58,O55:O58)</f>
        <v>1.6602137894485836E-3</v>
      </c>
      <c r="Y55" s="33">
        <f>bdrateOld($D55:$D58,E55:E58,$L55:$L58,M55:M58)</f>
        <v>1.3902937133039028E-3</v>
      </c>
      <c r="Z55" s="37">
        <f>bdrateOld($D55:$D58,F55:F58,$L55:$L58,N55:N58)</f>
        <v>6.5682290824897738E-3</v>
      </c>
      <c r="AA55" s="38">
        <f>bdrateOld($D55:$D58,G55:G58,$L55:$L58,O55:O58)</f>
        <v>1.653976073759722E-3</v>
      </c>
    </row>
    <row r="56" spans="1:27" x14ac:dyDescent="0.2">
      <c r="A56" s="25"/>
      <c r="B56" s="122"/>
      <c r="C56" s="122">
        <v>27</v>
      </c>
      <c r="D56" s="123">
        <v>44232</v>
      </c>
      <c r="E56" s="124">
        <v>40.424399999999999</v>
      </c>
      <c r="F56" s="124">
        <v>42.142699999999998</v>
      </c>
      <c r="G56" s="124">
        <v>42.826500000000003</v>
      </c>
      <c r="H56" s="13">
        <f>Reference!F158</f>
        <v>10642.21</v>
      </c>
      <c r="I56" s="13">
        <f>Reference!G158</f>
        <v>5.48</v>
      </c>
      <c r="J56" s="14">
        <f t="shared" si="4"/>
        <v>2.9561694444444444</v>
      </c>
      <c r="K56" s="81"/>
      <c r="L56" s="123">
        <v>44322.400000000001</v>
      </c>
      <c r="M56" s="124">
        <v>40.423000000000002</v>
      </c>
      <c r="N56" s="124">
        <v>42.193300000000001</v>
      </c>
      <c r="O56" s="124">
        <v>42.876100000000001</v>
      </c>
      <c r="P56" s="13">
        <f>Test!F158</f>
        <v>10929.59</v>
      </c>
      <c r="Q56" s="13">
        <f>Test!G158</f>
        <v>5.48</v>
      </c>
      <c r="R56" s="14">
        <f t="shared" si="5"/>
        <v>3.0359972222222225</v>
      </c>
      <c r="S56" s="13">
        <f t="shared" si="6"/>
        <v>1.0270037896264028</v>
      </c>
      <c r="T56" s="13">
        <f t="shared" si="7"/>
        <v>1</v>
      </c>
      <c r="U56" s="81"/>
      <c r="V56" s="86"/>
      <c r="W56" s="87"/>
      <c r="X56" s="87"/>
      <c r="Y56" s="31"/>
      <c r="Z56" s="29"/>
      <c r="AA56" s="43"/>
    </row>
    <row r="57" spans="1:27" x14ac:dyDescent="0.2">
      <c r="A57" s="25"/>
      <c r="B57" s="122"/>
      <c r="C57" s="122">
        <v>32</v>
      </c>
      <c r="D57" s="123">
        <v>27472</v>
      </c>
      <c r="E57" s="124">
        <v>36.171399999999998</v>
      </c>
      <c r="F57" s="124">
        <v>39.282699999999998</v>
      </c>
      <c r="G57" s="124">
        <v>39.886099999999999</v>
      </c>
      <c r="H57" s="13">
        <f>Reference!F159</f>
        <v>9010.57</v>
      </c>
      <c r="I57" s="13">
        <f>Reference!G159</f>
        <v>4.2699999999999996</v>
      </c>
      <c r="J57" s="14">
        <f t="shared" si="4"/>
        <v>2.502936111111111</v>
      </c>
      <c r="K57" s="81"/>
      <c r="L57" s="123">
        <v>27509.200000000001</v>
      </c>
      <c r="M57" s="124">
        <v>36.168599999999998</v>
      </c>
      <c r="N57" s="124">
        <v>39.176000000000002</v>
      </c>
      <c r="O57" s="124">
        <v>39.882899999999999</v>
      </c>
      <c r="P57" s="13">
        <f>Test!F159</f>
        <v>9142.33</v>
      </c>
      <c r="Q57" s="13">
        <f>Test!G159</f>
        <v>4.47</v>
      </c>
      <c r="R57" s="14">
        <f t="shared" si="5"/>
        <v>2.539536111111111</v>
      </c>
      <c r="S57" s="13">
        <f t="shared" si="6"/>
        <v>1.0146228263028865</v>
      </c>
      <c r="T57" s="13">
        <f t="shared" si="7"/>
        <v>1.0468384074941453</v>
      </c>
      <c r="U57" s="81"/>
      <c r="V57" s="86"/>
      <c r="W57" s="87"/>
      <c r="X57" s="87"/>
      <c r="Y57" s="31"/>
      <c r="Z57" s="29"/>
      <c r="AA57" s="43"/>
    </row>
    <row r="58" spans="1:27" ht="12.75" customHeight="1" thickBot="1" x14ac:dyDescent="0.25">
      <c r="A58" s="25"/>
      <c r="B58" s="125"/>
      <c r="C58" s="125">
        <v>37</v>
      </c>
      <c r="D58" s="126">
        <v>15976</v>
      </c>
      <c r="E58" s="127">
        <v>32.31</v>
      </c>
      <c r="F58" s="127">
        <v>36.814900000000002</v>
      </c>
      <c r="G58" s="127">
        <v>37.28</v>
      </c>
      <c r="H58" s="17">
        <f>Reference!F160</f>
        <v>7001.07</v>
      </c>
      <c r="I58" s="17">
        <f>Reference!G160</f>
        <v>3.25</v>
      </c>
      <c r="J58" s="18">
        <f t="shared" si="4"/>
        <v>1.9447416666666666</v>
      </c>
      <c r="K58" s="81"/>
      <c r="L58" s="126">
        <v>15931.2</v>
      </c>
      <c r="M58" s="127">
        <v>32.286499999999997</v>
      </c>
      <c r="N58" s="127">
        <v>36.738500000000002</v>
      </c>
      <c r="O58" s="127">
        <v>37.186399999999999</v>
      </c>
      <c r="P58" s="17">
        <f>Test!F160</f>
        <v>7066.1</v>
      </c>
      <c r="Q58" s="17">
        <f>Test!G160</f>
        <v>3.28</v>
      </c>
      <c r="R58" s="18">
        <f t="shared" si="5"/>
        <v>1.9628055555555557</v>
      </c>
      <c r="S58" s="13">
        <f t="shared" si="6"/>
        <v>1.0092885801741736</v>
      </c>
      <c r="T58" s="13">
        <f t="shared" si="7"/>
        <v>1.0092307692307692</v>
      </c>
      <c r="U58" s="81"/>
      <c r="V58" s="89"/>
      <c r="W58" s="90"/>
      <c r="X58" s="90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Reference!B161</f>
        <v>1776.0220999999999</v>
      </c>
      <c r="E59" s="10">
        <f>Reference!C161</f>
        <v>43.5199</v>
      </c>
      <c r="F59" s="10">
        <f>Reference!D161</f>
        <v>44.346400000000003</v>
      </c>
      <c r="G59" s="10">
        <f>Reference!E161</f>
        <v>43.237099999999998</v>
      </c>
      <c r="H59" s="10">
        <f>Reference!F161</f>
        <v>6258.36</v>
      </c>
      <c r="I59" s="10">
        <f>Reference!G161</f>
        <v>2.91</v>
      </c>
      <c r="J59" s="11">
        <f t="shared" si="4"/>
        <v>1.7384333333333333</v>
      </c>
      <c r="K59" s="81"/>
      <c r="L59" s="9">
        <f>Test!B161</f>
        <v>1764.4239</v>
      </c>
      <c r="M59" s="10">
        <f>Test!C161</f>
        <v>43.573500000000003</v>
      </c>
      <c r="N59" s="10">
        <f>Test!D161</f>
        <v>44.423200000000001</v>
      </c>
      <c r="O59" s="10">
        <f>Test!E161</f>
        <v>43.2545</v>
      </c>
      <c r="P59" s="10">
        <f>Test!F161</f>
        <v>6277.66</v>
      </c>
      <c r="Q59" s="10">
        <f>Test!G161</f>
        <v>2.85</v>
      </c>
      <c r="R59" s="11">
        <f t="shared" si="5"/>
        <v>1.7437944444444444</v>
      </c>
      <c r="S59" s="13">
        <f t="shared" si="6"/>
        <v>1.0030838750087883</v>
      </c>
      <c r="T59" s="13">
        <f t="shared" si="7"/>
        <v>0.97938144329896903</v>
      </c>
      <c r="U59" s="81"/>
      <c r="V59" s="83">
        <f>bdrate($D59:$D62,E59:E62,$L59:$L62,M59:M62)</f>
        <v>-5.7463348174399576E-2</v>
      </c>
      <c r="W59" s="84">
        <f>bdrate($D59:$D62,F59:F62,$L59:$L62,N59:N62)</f>
        <v>-7.9204170345884339E-2</v>
      </c>
      <c r="X59" s="84">
        <f>bdrate($D59:$D62,G59:G62,$L59:$L62,O59:O62)</f>
        <v>-1.7518521501026951E-2</v>
      </c>
      <c r="Y59" s="33">
        <f>bdrateOld($D59:$D62,E59:E62,$L59:$L62,M59:M62)</f>
        <v>-5.9421161477283713E-2</v>
      </c>
      <c r="Z59" s="37">
        <f>bdrateOld($D59:$D62,F59:F62,$L59:$L62,N59:N62)</f>
        <v>-7.7753506475380041E-2</v>
      </c>
      <c r="AA59" s="38">
        <f>bdrateOld($D59:$D62,G59:G62,$L59:$L62,O59:O62)</f>
        <v>-1.7506457310957457E-2</v>
      </c>
    </row>
    <row r="60" spans="1:27" x14ac:dyDescent="0.2">
      <c r="A60" s="25"/>
      <c r="B60" s="25"/>
      <c r="C60" s="25">
        <v>27</v>
      </c>
      <c r="D60" s="12">
        <f>Reference!B162</f>
        <v>1087.0461</v>
      </c>
      <c r="E60" s="13">
        <f>Reference!C162</f>
        <v>40.1629</v>
      </c>
      <c r="F60" s="13">
        <f>Reference!D162</f>
        <v>41.576300000000003</v>
      </c>
      <c r="G60" s="13">
        <f>Reference!E162</f>
        <v>39.976799999999997</v>
      </c>
      <c r="H60" s="13">
        <f>Reference!F162</f>
        <v>4817.66</v>
      </c>
      <c r="I60" s="13">
        <f>Reference!G162</f>
        <v>2.31</v>
      </c>
      <c r="J60" s="14">
        <f t="shared" si="4"/>
        <v>1.3382388888888888</v>
      </c>
      <c r="K60" s="81"/>
      <c r="L60" s="12">
        <f>Test!B162</f>
        <v>1077.5961</v>
      </c>
      <c r="M60" s="13">
        <f>Test!C162</f>
        <v>40.310299999999998</v>
      </c>
      <c r="N60" s="13">
        <f>Test!D162</f>
        <v>41.778700000000001</v>
      </c>
      <c r="O60" s="13">
        <f>Test!E162</f>
        <v>40.020299999999999</v>
      </c>
      <c r="P60" s="13">
        <f>Test!F162</f>
        <v>4978.6899999999996</v>
      </c>
      <c r="Q60" s="13">
        <f>Test!G162</f>
        <v>2.4500000000000002</v>
      </c>
      <c r="R60" s="14">
        <f t="shared" si="5"/>
        <v>1.3829694444444443</v>
      </c>
      <c r="S60" s="13">
        <f t="shared" si="6"/>
        <v>1.0334249407388649</v>
      </c>
      <c r="T60" s="13">
        <f t="shared" si="7"/>
        <v>1.0606060606060606</v>
      </c>
      <c r="U60" s="81"/>
      <c r="V60" s="86"/>
      <c r="W60" s="87"/>
      <c r="X60" s="87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Reference!B163</f>
        <v>628.1558</v>
      </c>
      <c r="E61" s="13">
        <f>Reference!C163</f>
        <v>37.834800000000001</v>
      </c>
      <c r="F61" s="13">
        <f>Reference!D163</f>
        <v>39.757599999999996</v>
      </c>
      <c r="G61" s="13">
        <f>Reference!E163</f>
        <v>36.838500000000003</v>
      </c>
      <c r="H61" s="13">
        <f>Reference!F163</f>
        <v>3760.17</v>
      </c>
      <c r="I61" s="13">
        <f>Reference!G163</f>
        <v>1.99</v>
      </c>
      <c r="J61" s="14">
        <f t="shared" si="4"/>
        <v>1.0444916666666666</v>
      </c>
      <c r="K61" s="81"/>
      <c r="L61" s="12">
        <f>Test!B163</f>
        <v>621.58180000000004</v>
      </c>
      <c r="M61" s="13">
        <f>Test!C163</f>
        <v>38.102200000000003</v>
      </c>
      <c r="N61" s="13">
        <f>Test!D163</f>
        <v>40.0777</v>
      </c>
      <c r="O61" s="13">
        <f>Test!E163</f>
        <v>36.892600000000002</v>
      </c>
      <c r="P61" s="13">
        <f>Test!F163</f>
        <v>3848.8</v>
      </c>
      <c r="Q61" s="13">
        <f>Test!G163</f>
        <v>1.99</v>
      </c>
      <c r="R61" s="14">
        <f t="shared" si="5"/>
        <v>1.0691111111111111</v>
      </c>
      <c r="S61" s="13">
        <f t="shared" si="6"/>
        <v>1.0235707428121601</v>
      </c>
      <c r="T61" s="13">
        <f t="shared" si="7"/>
        <v>1</v>
      </c>
      <c r="U61" s="81"/>
      <c r="V61" s="86"/>
      <c r="W61" s="87"/>
      <c r="X61" s="87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Reference!B164</f>
        <v>322.73840000000001</v>
      </c>
      <c r="E62" s="17">
        <f>Reference!C164</f>
        <v>36.414200000000001</v>
      </c>
      <c r="F62" s="17">
        <f>Reference!D164</f>
        <v>38.409300000000002</v>
      </c>
      <c r="G62" s="17">
        <f>Reference!E164</f>
        <v>33.649099999999997</v>
      </c>
      <c r="H62" s="17">
        <f>Reference!F164</f>
        <v>2641.55</v>
      </c>
      <c r="I62" s="17">
        <f>Reference!G164</f>
        <v>1.59</v>
      </c>
      <c r="J62" s="18">
        <f t="shared" si="4"/>
        <v>0.73376388888888899</v>
      </c>
      <c r="K62" s="81"/>
      <c r="L62" s="16">
        <f>Test!B164</f>
        <v>319.15179999999998</v>
      </c>
      <c r="M62" s="17">
        <f>Test!C164</f>
        <v>36.793399999999998</v>
      </c>
      <c r="N62" s="17">
        <f>Test!D164</f>
        <v>38.788499999999999</v>
      </c>
      <c r="O62" s="17">
        <f>Test!E164</f>
        <v>33.700099999999999</v>
      </c>
      <c r="P62" s="17">
        <f>Test!F164</f>
        <v>2611.96</v>
      </c>
      <c r="Q62" s="17">
        <f>Test!G164</f>
        <v>1.52</v>
      </c>
      <c r="R62" s="18">
        <f t="shared" si="5"/>
        <v>0.72554444444444444</v>
      </c>
      <c r="S62" s="17">
        <f t="shared" si="6"/>
        <v>0.9887982434555469</v>
      </c>
      <c r="T62" s="17">
        <f t="shared" si="7"/>
        <v>0.95597484276729561</v>
      </c>
      <c r="U62" s="82"/>
      <c r="V62" s="89"/>
      <c r="W62" s="90"/>
      <c r="X62" s="90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Reference!B165</f>
        <v>599.45399999999995</v>
      </c>
      <c r="E63" s="10">
        <f>Reference!C165</f>
        <v>45.275500000000001</v>
      </c>
      <c r="F63" s="10">
        <f>Reference!D165</f>
        <v>45.091999999999999</v>
      </c>
      <c r="G63" s="10">
        <f>Reference!E165</f>
        <v>43.984299999999998</v>
      </c>
      <c r="H63" s="10">
        <f>Reference!F165</f>
        <v>2531.7800000000002</v>
      </c>
      <c r="I63" s="10">
        <f>Reference!G165</f>
        <v>1.27</v>
      </c>
      <c r="J63" s="11">
        <f t="shared" si="4"/>
        <v>0.7032722222222223</v>
      </c>
      <c r="K63" s="81"/>
      <c r="L63" s="9">
        <f>Test!B165</f>
        <v>588.01110000000006</v>
      </c>
      <c r="M63" s="10">
        <f>Test!C165</f>
        <v>45.608199999999997</v>
      </c>
      <c r="N63" s="10">
        <f>Test!D165</f>
        <v>45.391800000000003</v>
      </c>
      <c r="O63" s="10">
        <f>Test!E165</f>
        <v>44.064300000000003</v>
      </c>
      <c r="P63" s="10">
        <f>Test!F165</f>
        <v>2575.96</v>
      </c>
      <c r="Q63" s="10">
        <f>Test!G165</f>
        <v>1.28</v>
      </c>
      <c r="R63" s="11">
        <f t="shared" si="5"/>
        <v>0.71554444444444443</v>
      </c>
      <c r="S63" s="10">
        <f t="shared" si="6"/>
        <v>1.0174501733957926</v>
      </c>
      <c r="T63" s="10">
        <f t="shared" si="7"/>
        <v>1.0078740157480315</v>
      </c>
      <c r="U63" s="80"/>
      <c r="V63" s="83">
        <f>bdrate($D63:$D66,E63:E66,$L63:$L66,M63:M66)</f>
        <v>-0.14814208990075528</v>
      </c>
      <c r="W63" s="84">
        <f>bdrate($D63:$D66,F63:F66,$L63:$L66,N63:N66)</f>
        <v>-0.11859826319163225</v>
      </c>
      <c r="X63" s="85">
        <f>bdrate($D63:$D66,G63:G66,$L63:$L66,O63:O66)</f>
        <v>-3.8724344098370556E-2</v>
      </c>
      <c r="Y63" s="30">
        <f>bdrateOld($D63:$D66,E63:E66,$L63:$L66,M63:M66)</f>
        <v>-0.14648838005018483</v>
      </c>
      <c r="Z63" s="35">
        <f>bdrateOld($D63:$D66,F63:F66,$L63:$L66,N63:N66)</f>
        <v>-0.11689458707255596</v>
      </c>
      <c r="AA63" s="36">
        <f>bdrateOld($D63:$D66,G63:G66,$L63:$L66,O63:O66)</f>
        <v>-3.8692049059949718E-2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Reference!B166</f>
        <v>359.0754</v>
      </c>
      <c r="E64" s="13">
        <f>Reference!C166</f>
        <v>42.219299999999997</v>
      </c>
      <c r="F64" s="13">
        <f>Reference!D166</f>
        <v>41.7652</v>
      </c>
      <c r="G64" s="13">
        <f>Reference!E166</f>
        <v>40.479199999999999</v>
      </c>
      <c r="H64" s="13">
        <f>Reference!F166</f>
        <v>1989.4</v>
      </c>
      <c r="I64" s="13">
        <f>Reference!G166</f>
        <v>0.99</v>
      </c>
      <c r="J64" s="14">
        <f t="shared" si="4"/>
        <v>0.55261111111111116</v>
      </c>
      <c r="K64" s="81"/>
      <c r="L64" s="12">
        <f>Test!B166</f>
        <v>351.94049999999999</v>
      </c>
      <c r="M64" s="13">
        <f>Test!C166</f>
        <v>42.7776</v>
      </c>
      <c r="N64" s="13">
        <f>Test!D166</f>
        <v>42.204700000000003</v>
      </c>
      <c r="O64" s="13">
        <f>Test!E166</f>
        <v>40.5916</v>
      </c>
      <c r="P64" s="13">
        <f>Test!F166</f>
        <v>2041.89</v>
      </c>
      <c r="Q64" s="13">
        <f>Test!G166</f>
        <v>0.99</v>
      </c>
      <c r="R64" s="14">
        <f t="shared" si="5"/>
        <v>0.56719166666666665</v>
      </c>
      <c r="S64" s="13">
        <f t="shared" si="6"/>
        <v>1.0263848396501458</v>
      </c>
      <c r="T64" s="13">
        <f t="shared" si="7"/>
        <v>1</v>
      </c>
      <c r="U64" s="81"/>
      <c r="V64" s="86"/>
      <c r="W64" s="87"/>
      <c r="X64" s="88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Reference!B167</f>
        <v>207.51669999999999</v>
      </c>
      <c r="E65" s="13">
        <f>Reference!C167</f>
        <v>39.93</v>
      </c>
      <c r="F65" s="13">
        <f>Reference!D167</f>
        <v>39.265900000000002</v>
      </c>
      <c r="G65" s="13">
        <f>Reference!E167</f>
        <v>37.300600000000003</v>
      </c>
      <c r="H65" s="13">
        <f>Reference!F167</f>
        <v>1520.18</v>
      </c>
      <c r="I65" s="13">
        <f>Reference!G167</f>
        <v>0.81</v>
      </c>
      <c r="J65" s="14">
        <f t="shared" si="4"/>
        <v>0.42227222222222222</v>
      </c>
      <c r="K65" s="81"/>
      <c r="L65" s="12">
        <f>Test!B167</f>
        <v>203.10239999999999</v>
      </c>
      <c r="M65" s="13">
        <f>Test!C167</f>
        <v>40.616599999999998</v>
      </c>
      <c r="N65" s="13">
        <f>Test!D167</f>
        <v>39.848599999999998</v>
      </c>
      <c r="O65" s="13">
        <f>Test!E167</f>
        <v>37.421300000000002</v>
      </c>
      <c r="P65" s="13">
        <f>Test!F167</f>
        <v>1550.29</v>
      </c>
      <c r="Q65" s="13">
        <f>Test!G167</f>
        <v>0.8</v>
      </c>
      <c r="R65" s="14">
        <f t="shared" si="5"/>
        <v>0.43063611111111111</v>
      </c>
      <c r="S65" s="13">
        <f t="shared" si="6"/>
        <v>1.019806864976516</v>
      </c>
      <c r="T65" s="13">
        <f t="shared" si="7"/>
        <v>0.98765432098765427</v>
      </c>
      <c r="U65" s="81"/>
      <c r="V65" s="86"/>
      <c r="W65" s="87"/>
      <c r="X65" s="88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Reference!B168</f>
        <v>116.28570000000001</v>
      </c>
      <c r="E66" s="17">
        <f>Reference!C168</f>
        <v>38.235999999999997</v>
      </c>
      <c r="F66" s="17">
        <f>Reference!D168</f>
        <v>37.396900000000002</v>
      </c>
      <c r="G66" s="17">
        <f>Reference!E168</f>
        <v>34.362699999999997</v>
      </c>
      <c r="H66" s="17">
        <f>Reference!F168</f>
        <v>981.43</v>
      </c>
      <c r="I66" s="17">
        <f>Reference!G168</f>
        <v>0.64</v>
      </c>
      <c r="J66" s="18">
        <f t="shared" si="4"/>
        <v>0.27261944444444441</v>
      </c>
      <c r="K66" s="81"/>
      <c r="L66" s="16">
        <f>Test!B168</f>
        <v>113.71980000000001</v>
      </c>
      <c r="M66" s="17">
        <f>Test!C168</f>
        <v>38.9238</v>
      </c>
      <c r="N66" s="17">
        <f>Test!D168</f>
        <v>37.978400000000001</v>
      </c>
      <c r="O66" s="17">
        <f>Test!E168</f>
        <v>34.459600000000002</v>
      </c>
      <c r="P66" s="17">
        <f>Test!F168</f>
        <v>995.75</v>
      </c>
      <c r="Q66" s="17">
        <f>Test!G168</f>
        <v>0.63</v>
      </c>
      <c r="R66" s="18">
        <f t="shared" si="5"/>
        <v>0.27659722222222222</v>
      </c>
      <c r="S66" s="13">
        <f t="shared" si="6"/>
        <v>1.0145909540160787</v>
      </c>
      <c r="T66" s="13">
        <f t="shared" si="7"/>
        <v>0.984375</v>
      </c>
      <c r="U66" s="81"/>
      <c r="V66" s="89"/>
      <c r="W66" s="90"/>
      <c r="X66" s="91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Reference!B169</f>
        <v>1545.7608</v>
      </c>
      <c r="E67" s="10">
        <f>Reference!C169</f>
        <v>43.301299999999998</v>
      </c>
      <c r="F67" s="10">
        <f>Reference!D169</f>
        <v>44.346899999999998</v>
      </c>
      <c r="G67" s="10">
        <f>Reference!E169</f>
        <v>42.450800000000001</v>
      </c>
      <c r="H67" s="10">
        <f>Reference!F169</f>
        <v>3438.06</v>
      </c>
      <c r="I67" s="10">
        <f>Reference!G169</f>
        <v>2.09</v>
      </c>
      <c r="J67" s="11">
        <f t="shared" ref="J67:J78" si="8">H67/3600</f>
        <v>0.95501666666666662</v>
      </c>
      <c r="K67" s="81"/>
      <c r="L67" s="9">
        <f>Test!B169</f>
        <v>1540.4208000000001</v>
      </c>
      <c r="M67" s="10">
        <f>Test!C169</f>
        <v>43.527900000000002</v>
      </c>
      <c r="N67" s="10">
        <f>Test!D169</f>
        <v>44.645400000000002</v>
      </c>
      <c r="O67" s="10">
        <f>Test!E169</f>
        <v>42.5137</v>
      </c>
      <c r="P67" s="10">
        <f>Test!F169</f>
        <v>3526.84</v>
      </c>
      <c r="Q67" s="10">
        <f>Test!G169</f>
        <v>2.11</v>
      </c>
      <c r="R67" s="11">
        <f t="shared" ref="R67:R78" si="9">P67/3600</f>
        <v>0.97967777777777787</v>
      </c>
      <c r="S67" s="13">
        <f t="shared" ref="S67:S78" si="10">P67/H67</f>
        <v>1.0258227023379465</v>
      </c>
      <c r="T67" s="13">
        <f t="shared" ref="T67:T78" si="11">Q67/I67</f>
        <v>1.0095693779904307</v>
      </c>
      <c r="U67" s="81"/>
      <c r="V67" s="83">
        <f>bdrate($D67:$D70,E67:E70,$L67:$L70,M67:M70)</f>
        <v>-6.543437814923303E-2</v>
      </c>
      <c r="W67" s="84">
        <f>bdrate($D67:$D70,F67:F70,$L67:$L70,N67:N70)</f>
        <v>-9.0095792620792259E-2</v>
      </c>
      <c r="X67" s="84">
        <f>bdrate($D67:$D70,G67:G70,$L67:$L70,O67:O70)</f>
        <v>-5.7903512749116759E-3</v>
      </c>
      <c r="Y67" s="33">
        <f>bdrateOld($D67:$D70,E67:E70,$L67:$L70,M67:M70)</f>
        <v>-6.3748903707556037E-2</v>
      </c>
      <c r="Z67" s="37">
        <f>bdrateOld($D67:$D70,F67:F70,$L67:$L70,N67:N70)</f>
        <v>-9.149314342237258E-2</v>
      </c>
      <c r="AA67" s="38">
        <f>bdrateOld($D67:$D70,G67:G70,$L67:$L70,O67:O70)</f>
        <v>-5.7935810867014714E-3</v>
      </c>
    </row>
    <row r="68" spans="1:27" x14ac:dyDescent="0.2">
      <c r="A68" s="25"/>
      <c r="B68" s="25"/>
      <c r="C68" s="25">
        <v>27</v>
      </c>
      <c r="D68" s="12">
        <f>Reference!B170</f>
        <v>978.2296</v>
      </c>
      <c r="E68" s="13">
        <f>Reference!C170</f>
        <v>40.604700000000001</v>
      </c>
      <c r="F68" s="13">
        <f>Reference!D170</f>
        <v>41.736400000000003</v>
      </c>
      <c r="G68" s="13">
        <f>Reference!E170</f>
        <v>38.351799999999997</v>
      </c>
      <c r="H68" s="13">
        <f>Reference!F170</f>
        <v>2907.04</v>
      </c>
      <c r="I68" s="13">
        <f>Reference!G170</f>
        <v>1.57</v>
      </c>
      <c r="J68" s="14">
        <f t="shared" si="8"/>
        <v>0.80751111111111107</v>
      </c>
      <c r="K68" s="81"/>
      <c r="L68" s="12">
        <f>Test!B170</f>
        <v>977.62</v>
      </c>
      <c r="M68" s="13">
        <f>Test!C170</f>
        <v>40.859299999999998</v>
      </c>
      <c r="N68" s="13">
        <f>Test!D170</f>
        <v>42.113300000000002</v>
      </c>
      <c r="O68" s="13">
        <f>Test!E170</f>
        <v>38.401699999999998</v>
      </c>
      <c r="P68" s="13">
        <f>Test!F170</f>
        <v>2964.46</v>
      </c>
      <c r="Q68" s="13">
        <f>Test!G170</f>
        <v>1.61</v>
      </c>
      <c r="R68" s="14">
        <f t="shared" si="9"/>
        <v>0.82346111111111109</v>
      </c>
      <c r="S68" s="13">
        <f t="shared" si="10"/>
        <v>1.0197520501953878</v>
      </c>
      <c r="T68" s="13">
        <f t="shared" si="11"/>
        <v>1.0254777070063694</v>
      </c>
      <c r="U68" s="81"/>
      <c r="V68" s="86"/>
      <c r="W68" s="87"/>
      <c r="X68" s="87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Reference!B171</f>
        <v>595.38160000000005</v>
      </c>
      <c r="E69" s="13">
        <f>Reference!C171</f>
        <v>39.112499999999997</v>
      </c>
      <c r="F69" s="13">
        <f>Reference!D171</f>
        <v>40.155299999999997</v>
      </c>
      <c r="G69" s="13">
        <f>Reference!E171</f>
        <v>34.817500000000003</v>
      </c>
      <c r="H69" s="13">
        <f>Reference!F171</f>
        <v>2352.09</v>
      </c>
      <c r="I69" s="13">
        <f>Reference!G171</f>
        <v>1.25</v>
      </c>
      <c r="J69" s="14">
        <f t="shared" si="8"/>
        <v>0.65335833333333337</v>
      </c>
      <c r="K69" s="81"/>
      <c r="L69" s="12">
        <f>Test!B171</f>
        <v>595.60559999999998</v>
      </c>
      <c r="M69" s="13">
        <f>Test!C171</f>
        <v>39.3247</v>
      </c>
      <c r="N69" s="13">
        <f>Test!D171</f>
        <v>40.463099999999997</v>
      </c>
      <c r="O69" s="13">
        <f>Test!E171</f>
        <v>34.848500000000001</v>
      </c>
      <c r="P69" s="13">
        <f>Test!F171</f>
        <v>2409.9499999999998</v>
      </c>
      <c r="Q69" s="13">
        <f>Test!G171</f>
        <v>1.26</v>
      </c>
      <c r="R69" s="14">
        <f t="shared" si="9"/>
        <v>0.66943055555555553</v>
      </c>
      <c r="S69" s="13">
        <f t="shared" si="10"/>
        <v>1.0245993988325275</v>
      </c>
      <c r="T69" s="13">
        <f t="shared" si="11"/>
        <v>1.008</v>
      </c>
      <c r="U69" s="81"/>
      <c r="V69" s="86"/>
      <c r="W69" s="87"/>
      <c r="X69" s="87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Reference!B172</f>
        <v>349.3408</v>
      </c>
      <c r="E70" s="17">
        <f>Reference!C172</f>
        <v>38.217100000000002</v>
      </c>
      <c r="F70" s="17">
        <f>Reference!D172</f>
        <v>39.002600000000001</v>
      </c>
      <c r="G70" s="17">
        <f>Reference!E172</f>
        <v>31.499700000000001</v>
      </c>
      <c r="H70" s="17">
        <f>Reference!F172</f>
        <v>1827.96</v>
      </c>
      <c r="I70" s="17">
        <f>Reference!G172</f>
        <v>1</v>
      </c>
      <c r="J70" s="18">
        <f t="shared" si="8"/>
        <v>0.5077666666666667</v>
      </c>
      <c r="K70" s="81"/>
      <c r="L70" s="16">
        <f>Test!B172</f>
        <v>349.49919999999997</v>
      </c>
      <c r="M70" s="17">
        <f>Test!C172</f>
        <v>38.407499999999999</v>
      </c>
      <c r="N70" s="17">
        <f>Test!D172</f>
        <v>39.311100000000003</v>
      </c>
      <c r="O70" s="17">
        <f>Test!E172</f>
        <v>31.511800000000001</v>
      </c>
      <c r="P70" s="17">
        <f>Test!F172</f>
        <v>1837.04</v>
      </c>
      <c r="Q70" s="17">
        <f>Test!G172</f>
        <v>1.01</v>
      </c>
      <c r="R70" s="18">
        <f t="shared" si="9"/>
        <v>0.5102888888888889</v>
      </c>
      <c r="S70" s="13">
        <f t="shared" si="10"/>
        <v>1.0049672859362349</v>
      </c>
      <c r="T70" s="13">
        <f t="shared" si="11"/>
        <v>1.01</v>
      </c>
      <c r="U70" s="81"/>
      <c r="V70" s="89"/>
      <c r="W70" s="90"/>
      <c r="X70" s="90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Reference!B173</f>
        <v>1360.9937</v>
      </c>
      <c r="E71" s="10">
        <f>Reference!C173</f>
        <v>42.103099999999998</v>
      </c>
      <c r="F71" s="10">
        <f>Reference!D173</f>
        <v>42.919400000000003</v>
      </c>
      <c r="G71" s="10">
        <f>Reference!E173</f>
        <v>41.9375</v>
      </c>
      <c r="H71" s="10">
        <f>Reference!F173</f>
        <v>3262.02</v>
      </c>
      <c r="I71" s="10">
        <f>Reference!G173</f>
        <v>2.0099999999999998</v>
      </c>
      <c r="J71" s="11">
        <f t="shared" si="8"/>
        <v>0.90611666666666668</v>
      </c>
      <c r="K71" s="81"/>
      <c r="L71" s="9">
        <f>Test!B173</f>
        <v>1345.1635000000001</v>
      </c>
      <c r="M71" s="10">
        <f>Test!C173</f>
        <v>42.286000000000001</v>
      </c>
      <c r="N71" s="10">
        <f>Test!D173</f>
        <v>43.152099999999997</v>
      </c>
      <c r="O71" s="10">
        <f>Test!E173</f>
        <v>41.991300000000003</v>
      </c>
      <c r="P71" s="10">
        <f>Test!F173</f>
        <v>3391.57</v>
      </c>
      <c r="Q71" s="10">
        <f>Test!G173</f>
        <v>2.0299999999999998</v>
      </c>
      <c r="R71" s="11">
        <f t="shared" si="9"/>
        <v>0.94210277777777784</v>
      </c>
      <c r="S71" s="13">
        <f t="shared" si="10"/>
        <v>1.0397146553362642</v>
      </c>
      <c r="T71" s="13">
        <f t="shared" si="11"/>
        <v>1.0099502487562189</v>
      </c>
      <c r="U71" s="81"/>
      <c r="V71" s="83">
        <f>bdrate($D71:$D74,E71:E74,$L71:$L74,M71:M74)</f>
        <v>-0.11028139372442569</v>
      </c>
      <c r="W71" s="84">
        <f>bdrate($D71:$D74,F71:F74,$L71:$L74,N71:N74)</f>
        <v>-0.10839124118081922</v>
      </c>
      <c r="X71" s="84">
        <f>bdrate($D71:$D74,G71:G74,$L71:$L74,O71:O74)</f>
        <v>-2.2448736871581998E-2</v>
      </c>
      <c r="Y71" s="33">
        <f>bdrateOld($D71:$D74,E71:E74,$L71:$L74,M71:M74)</f>
        <v>-0.10654287084909764</v>
      </c>
      <c r="Z71" s="37">
        <f>bdrateOld($D71:$D74,F71:F74,$L71:$L74,N71:N74)</f>
        <v>-0.10570718166460347</v>
      </c>
      <c r="AA71" s="38">
        <f>bdrateOld($D71:$D74,G71:G74,$L71:$L74,O71:O74)</f>
        <v>-2.239444770270882E-2</v>
      </c>
    </row>
    <row r="72" spans="1:27" x14ac:dyDescent="0.2">
      <c r="A72" s="25"/>
      <c r="B72" s="25"/>
      <c r="C72" s="25">
        <v>27</v>
      </c>
      <c r="D72" s="12">
        <f>Reference!B174</f>
        <v>846.10630000000003</v>
      </c>
      <c r="E72" s="13">
        <f>Reference!C174</f>
        <v>38.988199999999999</v>
      </c>
      <c r="F72" s="13">
        <f>Reference!D174</f>
        <v>39.568899999999999</v>
      </c>
      <c r="G72" s="13">
        <f>Reference!E174</f>
        <v>37.942900000000002</v>
      </c>
      <c r="H72" s="13">
        <f>Reference!F174</f>
        <v>2883.73</v>
      </c>
      <c r="I72" s="13">
        <f>Reference!G174</f>
        <v>1.6</v>
      </c>
      <c r="J72" s="14">
        <f t="shared" si="8"/>
        <v>0.80103611111111117</v>
      </c>
      <c r="K72" s="81"/>
      <c r="L72" s="12">
        <f>Test!B174</f>
        <v>837.8587</v>
      </c>
      <c r="M72" s="13">
        <f>Test!C174</f>
        <v>39.348199999999999</v>
      </c>
      <c r="N72" s="13">
        <f>Test!D174</f>
        <v>39.970799999999997</v>
      </c>
      <c r="O72" s="13">
        <f>Test!E174</f>
        <v>38.036299999999997</v>
      </c>
      <c r="P72" s="13">
        <f>Test!F174</f>
        <v>2960.03</v>
      </c>
      <c r="Q72" s="13">
        <f>Test!G174</f>
        <v>1.61</v>
      </c>
      <c r="R72" s="14">
        <f t="shared" si="9"/>
        <v>0.82223055555555558</v>
      </c>
      <c r="S72" s="13">
        <f t="shared" si="10"/>
        <v>1.0264587877505871</v>
      </c>
      <c r="T72" s="13">
        <f t="shared" si="11"/>
        <v>1.0062500000000001</v>
      </c>
      <c r="U72" s="81"/>
      <c r="V72" s="86"/>
      <c r="W72" s="87"/>
      <c r="X72" s="87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Reference!B175</f>
        <v>484.6968</v>
      </c>
      <c r="E73" s="13">
        <f>Reference!C175</f>
        <v>36.744</v>
      </c>
      <c r="F73" s="13">
        <f>Reference!D175</f>
        <v>37.211300000000001</v>
      </c>
      <c r="G73" s="13">
        <f>Reference!E175</f>
        <v>34.329599999999999</v>
      </c>
      <c r="H73" s="13">
        <f>Reference!F175</f>
        <v>2489.65</v>
      </c>
      <c r="I73" s="13">
        <f>Reference!G175</f>
        <v>1.26</v>
      </c>
      <c r="J73" s="14">
        <f t="shared" si="8"/>
        <v>0.69156944444444446</v>
      </c>
      <c r="K73" s="81"/>
      <c r="L73" s="12">
        <f>Test!B175</f>
        <v>480.9008</v>
      </c>
      <c r="M73" s="13">
        <f>Test!C175</f>
        <v>37.291600000000003</v>
      </c>
      <c r="N73" s="13">
        <f>Test!D175</f>
        <v>37.743299999999998</v>
      </c>
      <c r="O73" s="13">
        <f>Test!E175</f>
        <v>34.427399999999999</v>
      </c>
      <c r="P73" s="13">
        <f>Test!F175</f>
        <v>2546.31</v>
      </c>
      <c r="Q73" s="13">
        <f>Test!G175</f>
        <v>1.27</v>
      </c>
      <c r="R73" s="14">
        <f t="shared" si="9"/>
        <v>0.70730833333333332</v>
      </c>
      <c r="S73" s="13">
        <f t="shared" si="10"/>
        <v>1.0227582190267708</v>
      </c>
      <c r="T73" s="13">
        <f t="shared" si="11"/>
        <v>1.0079365079365079</v>
      </c>
      <c r="U73" s="81"/>
      <c r="V73" s="86"/>
      <c r="W73" s="87"/>
      <c r="X73" s="87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Reference!B176</f>
        <v>249.0667</v>
      </c>
      <c r="E74" s="17">
        <f>Reference!C176</f>
        <v>35.2149</v>
      </c>
      <c r="F74" s="17">
        <f>Reference!D176</f>
        <v>35.663600000000002</v>
      </c>
      <c r="G74" s="17">
        <f>Reference!E176</f>
        <v>31.0168</v>
      </c>
      <c r="H74" s="17">
        <f>Reference!F176</f>
        <v>1936.87</v>
      </c>
      <c r="I74" s="17">
        <f>Reference!G176</f>
        <v>0.93</v>
      </c>
      <c r="J74" s="18">
        <f t="shared" si="8"/>
        <v>0.53801944444444438</v>
      </c>
      <c r="K74" s="81"/>
      <c r="L74" s="16">
        <f>Test!B176</f>
        <v>247.0206</v>
      </c>
      <c r="M74" s="17">
        <f>Test!C176</f>
        <v>35.764400000000002</v>
      </c>
      <c r="N74" s="17">
        <f>Test!D176</f>
        <v>36.219299999999997</v>
      </c>
      <c r="O74" s="17">
        <f>Test!E176</f>
        <v>31.0808</v>
      </c>
      <c r="P74" s="17">
        <f>Test!F176</f>
        <v>1961.3</v>
      </c>
      <c r="Q74" s="17">
        <f>Test!G176</f>
        <v>0.94</v>
      </c>
      <c r="R74" s="18">
        <f t="shared" si="9"/>
        <v>0.54480555555555554</v>
      </c>
      <c r="S74" s="13">
        <f t="shared" si="10"/>
        <v>1.0126131335608481</v>
      </c>
      <c r="T74" s="13">
        <f t="shared" si="11"/>
        <v>1.010752688172043</v>
      </c>
      <c r="U74" s="81"/>
      <c r="V74" s="89"/>
      <c r="W74" s="90"/>
      <c r="X74" s="90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Reference!B177</f>
        <v>525.38919999999996</v>
      </c>
      <c r="E75" s="10">
        <f>Reference!C177</f>
        <v>43.033000000000001</v>
      </c>
      <c r="F75" s="10">
        <f>Reference!D177</f>
        <v>43.895699999999998</v>
      </c>
      <c r="G75" s="10">
        <f>Reference!E177</f>
        <v>43.346400000000003</v>
      </c>
      <c r="H75" s="10">
        <f>Reference!F177</f>
        <v>1647.37</v>
      </c>
      <c r="I75" s="10">
        <f>Reference!G177</f>
        <v>0.87</v>
      </c>
      <c r="J75" s="11">
        <f t="shared" si="8"/>
        <v>0.45760277777777775</v>
      </c>
      <c r="K75" s="81"/>
      <c r="L75" s="9">
        <f>Test!B177</f>
        <v>519.66</v>
      </c>
      <c r="M75" s="10">
        <f>Test!C177</f>
        <v>43.1798</v>
      </c>
      <c r="N75" s="10">
        <f>Test!D177</f>
        <v>44.084800000000001</v>
      </c>
      <c r="O75" s="10">
        <f>Test!E177</f>
        <v>43.397300000000001</v>
      </c>
      <c r="P75" s="10">
        <f>Test!F177</f>
        <v>1705.58</v>
      </c>
      <c r="Q75" s="10">
        <f>Test!G177</f>
        <v>0.89</v>
      </c>
      <c r="R75" s="11">
        <f t="shared" si="9"/>
        <v>0.47377222222222221</v>
      </c>
      <c r="S75" s="13">
        <f t="shared" si="10"/>
        <v>1.0353351099024506</v>
      </c>
      <c r="T75" s="13">
        <f t="shared" si="11"/>
        <v>1.0229885057471264</v>
      </c>
      <c r="U75" s="81"/>
      <c r="V75" s="83">
        <f>bdrate($D75:$D78,E75:E78,$L75:$L78,M75:M78)</f>
        <v>-9.7097869841931583E-2</v>
      </c>
      <c r="W75" s="84">
        <f>bdrate($D75:$D78,F75:F78,$L75:$L78,N75:N78)</f>
        <v>-0.10466003644492272</v>
      </c>
      <c r="X75" s="84">
        <f>bdrate($D75:$D78,G75:G78,$L75:$L78,O75:O78)</f>
        <v>-2.5518605553654594E-2</v>
      </c>
      <c r="Y75" s="33">
        <f>bdrateOld($D75:$D78,E75:E78,$L75:$L78,M75:M78)</f>
        <v>-9.5177311180386304E-2</v>
      </c>
      <c r="Z75" s="37">
        <f>bdrateOld($D75:$D78,F75:F78,$L75:$L78,N75:N78)</f>
        <v>-0.10353766660534169</v>
      </c>
      <c r="AA75" s="38">
        <f>bdrateOld($D75:$D78,G75:G78,$L75:$L78,O75:O78)</f>
        <v>-2.5492169255960762E-2</v>
      </c>
    </row>
    <row r="76" spans="1:27" x14ac:dyDescent="0.2">
      <c r="A76" s="25"/>
      <c r="B76" s="25"/>
      <c r="C76" s="25">
        <v>27</v>
      </c>
      <c r="D76" s="12">
        <f>Reference!B178</f>
        <v>330.4074</v>
      </c>
      <c r="E76" s="13">
        <f>Reference!C178</f>
        <v>39.612900000000003</v>
      </c>
      <c r="F76" s="13">
        <f>Reference!D178</f>
        <v>40.931800000000003</v>
      </c>
      <c r="G76" s="13">
        <f>Reference!E178</f>
        <v>39.740099999999998</v>
      </c>
      <c r="H76" s="13">
        <f>Reference!F178</f>
        <v>1404.23</v>
      </c>
      <c r="I76" s="13">
        <f>Reference!G178</f>
        <v>0.73</v>
      </c>
      <c r="J76" s="14">
        <f t="shared" si="8"/>
        <v>0.39006388888888888</v>
      </c>
      <c r="K76" s="81"/>
      <c r="L76" s="12">
        <f>Test!B178</f>
        <v>327.04259999999999</v>
      </c>
      <c r="M76" s="13">
        <f>Test!C178</f>
        <v>39.932000000000002</v>
      </c>
      <c r="N76" s="13">
        <f>Test!D178</f>
        <v>41.304600000000001</v>
      </c>
      <c r="O76" s="13">
        <f>Test!E178</f>
        <v>39.840600000000002</v>
      </c>
      <c r="P76" s="13">
        <f>Test!F178</f>
        <v>1418.96</v>
      </c>
      <c r="Q76" s="13">
        <f>Test!G178</f>
        <v>0.73</v>
      </c>
      <c r="R76" s="14">
        <f t="shared" si="9"/>
        <v>0.39415555555555559</v>
      </c>
      <c r="S76" s="13">
        <f t="shared" si="10"/>
        <v>1.0104897345876387</v>
      </c>
      <c r="T76" s="13">
        <f t="shared" si="11"/>
        <v>1</v>
      </c>
      <c r="U76" s="81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Reference!B179</f>
        <v>186.0087</v>
      </c>
      <c r="E77" s="13">
        <f>Reference!C179</f>
        <v>37.438699999999997</v>
      </c>
      <c r="F77" s="13">
        <f>Reference!D179</f>
        <v>38.787100000000002</v>
      </c>
      <c r="G77" s="13">
        <f>Reference!E179</f>
        <v>36.242199999999997</v>
      </c>
      <c r="H77" s="13">
        <f>Reference!F179</f>
        <v>1161.77</v>
      </c>
      <c r="I77" s="13">
        <f>Reference!G179</f>
        <v>0.59</v>
      </c>
      <c r="J77" s="14">
        <f t="shared" si="8"/>
        <v>0.32271388888888891</v>
      </c>
      <c r="K77" s="81"/>
      <c r="L77" s="12">
        <f>Test!B179</f>
        <v>183.86529999999999</v>
      </c>
      <c r="M77" s="13">
        <f>Test!C179</f>
        <v>37.8902</v>
      </c>
      <c r="N77" s="13">
        <f>Test!D179</f>
        <v>39.220399999999998</v>
      </c>
      <c r="O77" s="13">
        <f>Test!E179</f>
        <v>36.332299999999996</v>
      </c>
      <c r="P77" s="13">
        <f>Test!F179</f>
        <v>1196.27</v>
      </c>
      <c r="Q77" s="13">
        <f>Test!G179</f>
        <v>0.6</v>
      </c>
      <c r="R77" s="14">
        <f t="shared" si="9"/>
        <v>0.33229722222222224</v>
      </c>
      <c r="S77" s="13">
        <f t="shared" si="10"/>
        <v>1.0296960672077951</v>
      </c>
      <c r="T77" s="13">
        <f t="shared" si="11"/>
        <v>1.0169491525423728</v>
      </c>
      <c r="U77" s="81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Reference!B180</f>
        <v>93.714500000000001</v>
      </c>
      <c r="E78" s="17">
        <f>Reference!C180</f>
        <v>35.924399999999999</v>
      </c>
      <c r="F78" s="17">
        <f>Reference!D180</f>
        <v>37.122999999999998</v>
      </c>
      <c r="G78" s="17">
        <f>Reference!E180</f>
        <v>33.034100000000002</v>
      </c>
      <c r="H78" s="17">
        <f>Reference!F180</f>
        <v>828.76</v>
      </c>
      <c r="I78" s="17">
        <f>Reference!G180</f>
        <v>0.46</v>
      </c>
      <c r="J78" s="18">
        <f t="shared" si="8"/>
        <v>0.23021111111111112</v>
      </c>
      <c r="K78" s="81"/>
      <c r="L78" s="16">
        <f>Test!B180</f>
        <v>92.392099999999999</v>
      </c>
      <c r="M78" s="17">
        <f>Test!C180</f>
        <v>36.434199999999997</v>
      </c>
      <c r="N78" s="17">
        <f>Test!D180</f>
        <v>37.554200000000002</v>
      </c>
      <c r="O78" s="17">
        <f>Test!E180</f>
        <v>33.104599999999998</v>
      </c>
      <c r="P78" s="17">
        <f>Test!F180</f>
        <v>845.03</v>
      </c>
      <c r="Q78" s="17">
        <f>Test!G180</f>
        <v>0.46</v>
      </c>
      <c r="R78" s="18">
        <f t="shared" si="9"/>
        <v>0.23473055555555555</v>
      </c>
      <c r="S78" s="17">
        <f t="shared" si="10"/>
        <v>1.0196317389835416</v>
      </c>
      <c r="T78" s="17">
        <f t="shared" si="11"/>
        <v>1</v>
      </c>
      <c r="U78" s="82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/>
      <c r="E79" s="10"/>
      <c r="F79" s="10"/>
      <c r="G79" s="10"/>
      <c r="H79" s="10"/>
      <c r="I79" s="10"/>
      <c r="J79" s="11"/>
      <c r="L79" s="9"/>
      <c r="M79" s="10"/>
      <c r="N79" s="10"/>
      <c r="O79" s="10"/>
      <c r="P79" s="10"/>
      <c r="Q79" s="10"/>
      <c r="R79" s="11"/>
      <c r="S79" s="10"/>
      <c r="T79" s="10"/>
      <c r="U79" s="47"/>
      <c r="V79" s="71"/>
      <c r="W79" s="72"/>
      <c r="X79" s="73"/>
      <c r="Y79" s="30"/>
      <c r="Z79" s="35"/>
      <c r="AA79" s="36"/>
    </row>
    <row r="80" spans="1:27" x14ac:dyDescent="0.2">
      <c r="A80" s="25" t="s">
        <v>75</v>
      </c>
      <c r="B80" s="25"/>
      <c r="C80" s="25">
        <v>27</v>
      </c>
      <c r="D80" s="12"/>
      <c r="E80" s="13"/>
      <c r="F80" s="13"/>
      <c r="G80" s="13"/>
      <c r="H80" s="13"/>
      <c r="I80" s="13"/>
      <c r="J80" s="14"/>
      <c r="L80" s="12"/>
      <c r="M80" s="13"/>
      <c r="N80" s="13"/>
      <c r="O80" s="13"/>
      <c r="P80" s="13"/>
      <c r="Q80" s="13"/>
      <c r="R80" s="14"/>
      <c r="S80" s="13"/>
      <c r="T80" s="13"/>
      <c r="U80" s="48"/>
      <c r="V80" s="74"/>
      <c r="W80" s="75"/>
      <c r="X80" s="76"/>
      <c r="Y80" s="31"/>
      <c r="Z80" s="29"/>
      <c r="AA80" s="43"/>
    </row>
    <row r="81" spans="1:27" x14ac:dyDescent="0.2">
      <c r="A81" s="25"/>
      <c r="B81" s="25"/>
      <c r="C81" s="25">
        <v>32</v>
      </c>
      <c r="D81" s="12"/>
      <c r="E81" s="13"/>
      <c r="F81" s="13"/>
      <c r="G81" s="13"/>
      <c r="H81" s="13"/>
      <c r="I81" s="13"/>
      <c r="J81" s="14"/>
      <c r="L81" s="12"/>
      <c r="M81" s="13"/>
      <c r="N81" s="13"/>
      <c r="O81" s="13"/>
      <c r="P81" s="13"/>
      <c r="Q81" s="13"/>
      <c r="R81" s="14"/>
      <c r="S81" s="13"/>
      <c r="T81" s="13"/>
      <c r="U81" s="48"/>
      <c r="V81" s="74"/>
      <c r="W81" s="75"/>
      <c r="X81" s="76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/>
      <c r="E82" s="17"/>
      <c r="F82" s="17"/>
      <c r="G82" s="17"/>
      <c r="H82" s="17"/>
      <c r="I82" s="17"/>
      <c r="J82" s="18"/>
      <c r="L82" s="16"/>
      <c r="M82" s="17"/>
      <c r="N82" s="17"/>
      <c r="O82" s="17"/>
      <c r="P82" s="17"/>
      <c r="Q82" s="17"/>
      <c r="R82" s="18"/>
      <c r="S82" s="13"/>
      <c r="T82" s="13"/>
      <c r="U82" s="48"/>
      <c r="V82" s="77"/>
      <c r="W82" s="78"/>
      <c r="X82" s="79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/>
      <c r="E83" s="10"/>
      <c r="F83" s="10"/>
      <c r="G83" s="10"/>
      <c r="H83" s="10"/>
      <c r="I83" s="10"/>
      <c r="J83" s="11"/>
      <c r="L83" s="9"/>
      <c r="M83" s="10"/>
      <c r="N83" s="10"/>
      <c r="O83" s="10"/>
      <c r="P83" s="10"/>
      <c r="Q83" s="10"/>
      <c r="R83" s="11"/>
      <c r="S83" s="13"/>
      <c r="T83" s="13"/>
      <c r="U83" s="48"/>
      <c r="V83" s="71"/>
      <c r="W83" s="72"/>
      <c r="X83" s="72"/>
      <c r="Y83" s="33"/>
      <c r="Z83" s="37"/>
      <c r="AA83" s="38"/>
    </row>
    <row r="84" spans="1:27" x14ac:dyDescent="0.2">
      <c r="A84" s="25"/>
      <c r="B84" s="25"/>
      <c r="C84" s="25">
        <v>27</v>
      </c>
      <c r="D84" s="12"/>
      <c r="E84" s="13"/>
      <c r="F84" s="13"/>
      <c r="G84" s="13"/>
      <c r="H84" s="13"/>
      <c r="I84" s="13"/>
      <c r="J84" s="14"/>
      <c r="L84" s="12"/>
      <c r="M84" s="13"/>
      <c r="N84" s="13"/>
      <c r="O84" s="13"/>
      <c r="P84" s="13"/>
      <c r="Q84" s="13"/>
      <c r="R84" s="14"/>
      <c r="S84" s="13"/>
      <c r="T84" s="13"/>
      <c r="U84" s="48"/>
      <c r="V84" s="74"/>
      <c r="W84" s="75"/>
      <c r="X84" s="75"/>
      <c r="Y84" s="31"/>
      <c r="Z84" s="29"/>
      <c r="AA84" s="43"/>
    </row>
    <row r="85" spans="1:27" x14ac:dyDescent="0.2">
      <c r="A85" s="25"/>
      <c r="B85" s="25"/>
      <c r="C85" s="25">
        <v>32</v>
      </c>
      <c r="D85" s="12"/>
      <c r="E85" s="13"/>
      <c r="F85" s="13"/>
      <c r="G85" s="13"/>
      <c r="H85" s="13"/>
      <c r="I85" s="13"/>
      <c r="J85" s="14"/>
      <c r="L85" s="12"/>
      <c r="M85" s="13"/>
      <c r="N85" s="13"/>
      <c r="O85" s="13"/>
      <c r="P85" s="13"/>
      <c r="Q85" s="13"/>
      <c r="R85" s="14"/>
      <c r="S85" s="13"/>
      <c r="T85" s="13"/>
      <c r="U85" s="48"/>
      <c r="V85" s="74"/>
      <c r="W85" s="75"/>
      <c r="X85" s="75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/>
      <c r="E86" s="17"/>
      <c r="F86" s="17"/>
      <c r="G86" s="17"/>
      <c r="H86" s="17"/>
      <c r="I86" s="17"/>
      <c r="J86" s="18"/>
      <c r="L86" s="16"/>
      <c r="M86" s="17"/>
      <c r="N86" s="17"/>
      <c r="O86" s="17"/>
      <c r="P86" s="17"/>
      <c r="Q86" s="17"/>
      <c r="R86" s="18"/>
      <c r="S86" s="13"/>
      <c r="T86" s="13"/>
      <c r="U86" s="48"/>
      <c r="V86" s="77"/>
      <c r="W86" s="78"/>
      <c r="X86" s="78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/>
      <c r="E87" s="10"/>
      <c r="F87" s="10"/>
      <c r="G87" s="10"/>
      <c r="H87" s="10"/>
      <c r="I87" s="10"/>
      <c r="J87" s="11"/>
      <c r="L87" s="9"/>
      <c r="M87" s="10"/>
      <c r="N87" s="10"/>
      <c r="O87" s="10"/>
      <c r="P87" s="10"/>
      <c r="Q87" s="10"/>
      <c r="R87" s="11"/>
      <c r="S87" s="13"/>
      <c r="T87" s="13"/>
      <c r="U87" s="48"/>
      <c r="V87" s="71"/>
      <c r="W87" s="72"/>
      <c r="X87" s="72"/>
      <c r="Y87" s="33"/>
      <c r="Z87" s="37"/>
      <c r="AA87" s="38"/>
    </row>
    <row r="88" spans="1:27" x14ac:dyDescent="0.2">
      <c r="A88" s="25"/>
      <c r="B88" s="25"/>
      <c r="C88" s="25">
        <v>27</v>
      </c>
      <c r="D88" s="12"/>
      <c r="E88" s="13"/>
      <c r="F88" s="13"/>
      <c r="G88" s="13"/>
      <c r="H88" s="13"/>
      <c r="I88" s="13"/>
      <c r="J88" s="14"/>
      <c r="L88" s="12"/>
      <c r="M88" s="13"/>
      <c r="N88" s="13"/>
      <c r="O88" s="13"/>
      <c r="P88" s="13"/>
      <c r="Q88" s="13"/>
      <c r="R88" s="14"/>
      <c r="S88" s="13"/>
      <c r="T88" s="13"/>
      <c r="U88" s="48"/>
      <c r="V88" s="74"/>
      <c r="W88" s="75"/>
      <c r="X88" s="75"/>
      <c r="Y88" s="31"/>
      <c r="Z88" s="29"/>
      <c r="AA88" s="43"/>
    </row>
    <row r="89" spans="1:27" x14ac:dyDescent="0.2">
      <c r="A89" s="25"/>
      <c r="B89" s="25"/>
      <c r="C89" s="25">
        <v>32</v>
      </c>
      <c r="D89" s="12"/>
      <c r="E89" s="13"/>
      <c r="F89" s="13"/>
      <c r="G89" s="13"/>
      <c r="H89" s="13"/>
      <c r="I89" s="13"/>
      <c r="J89" s="14"/>
      <c r="L89" s="12"/>
      <c r="M89" s="13"/>
      <c r="N89" s="13"/>
      <c r="O89" s="13"/>
      <c r="P89" s="13"/>
      <c r="Q89" s="13"/>
      <c r="R89" s="14"/>
      <c r="S89" s="13"/>
      <c r="T89" s="13"/>
      <c r="U89" s="48"/>
      <c r="V89" s="74"/>
      <c r="W89" s="75"/>
      <c r="X89" s="75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/>
      <c r="E90" s="17"/>
      <c r="F90" s="17"/>
      <c r="G90" s="17"/>
      <c r="H90" s="17"/>
      <c r="I90" s="17"/>
      <c r="J90" s="18"/>
      <c r="L90" s="16"/>
      <c r="M90" s="17"/>
      <c r="N90" s="17"/>
      <c r="O90" s="17"/>
      <c r="P90" s="17"/>
      <c r="Q90" s="17"/>
      <c r="R90" s="18"/>
      <c r="S90" s="13"/>
      <c r="T90" s="13"/>
      <c r="U90" s="48"/>
      <c r="V90" s="77"/>
      <c r="W90" s="78"/>
      <c r="X90" s="78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Reference!B193</f>
        <v>2476.0515999999998</v>
      </c>
      <c r="E91" s="10">
        <f>Reference!C193</f>
        <v>43.7652</v>
      </c>
      <c r="F91" s="10">
        <f>Reference!D193</f>
        <v>44.392699999999998</v>
      </c>
      <c r="G91" s="10">
        <f>Reference!E193</f>
        <v>43.138800000000003</v>
      </c>
      <c r="H91" s="10">
        <f>Reference!F193</f>
        <v>14970.46</v>
      </c>
      <c r="I91" s="10">
        <f>Reference!G193</f>
        <v>5.66</v>
      </c>
      <c r="J91" s="11">
        <f t="shared" ref="J91:J106" si="12">H91/3600</f>
        <v>4.1584611111111105</v>
      </c>
      <c r="L91" s="9">
        <f>Test!B193</f>
        <v>2404.2602999999999</v>
      </c>
      <c r="M91" s="10">
        <f>Test!C193</f>
        <v>43.996699999999997</v>
      </c>
      <c r="N91" s="10">
        <f>Test!D193</f>
        <v>44.735599999999998</v>
      </c>
      <c r="O91" s="10">
        <f>Test!E193</f>
        <v>43.213200000000001</v>
      </c>
      <c r="P91" s="10">
        <f>Test!F193</f>
        <v>14681.08</v>
      </c>
      <c r="Q91" s="10">
        <f>Test!G193</f>
        <v>5.42</v>
      </c>
      <c r="R91" s="11">
        <f t="shared" ref="R91:R106" si="13">P91/3600</f>
        <v>4.0780777777777777</v>
      </c>
      <c r="S91" s="10">
        <f t="shared" ref="S91:S106" si="14">P91/H91</f>
        <v>0.98066993265404012</v>
      </c>
      <c r="T91" s="10">
        <f t="shared" ref="T91:T106" si="15">Q91/I91</f>
        <v>0.95759717314487625</v>
      </c>
      <c r="U91" s="47"/>
      <c r="V91" s="30">
        <f>bdrate($D91:$D94,E91:E94,$L91:$L94,M91:M94)</f>
        <v>-0.17769661282155369</v>
      </c>
      <c r="W91" s="35">
        <f>bdrate($D91:$D94,F91:F94,$L91:$L94,N91:N94)</f>
        <v>-0.19540768871313619</v>
      </c>
      <c r="X91" s="36">
        <f>bdrate($D91:$D94,G91:G94,$L91:$L94,O91:O94)</f>
        <v>-7.0920521438235684E-2</v>
      </c>
      <c r="Y91" s="30">
        <f>bdrateOld($D91:$D94,E91:E94,$L91:$L94,M91:M94)</f>
        <v>-0.17733242311990838</v>
      </c>
      <c r="Z91" s="35">
        <f>bdrateOld($D91:$D94,F91:F94,$L91:$L94,N91:N94)</f>
        <v>-0.19394875123518796</v>
      </c>
      <c r="AA91" s="36">
        <f>bdrateOld($D91:$D94,G91:G94,$L91:$L94,O91:O94)</f>
        <v>-7.0911604240578852E-2</v>
      </c>
    </row>
    <row r="92" spans="1:27" x14ac:dyDescent="0.2">
      <c r="A92" s="25"/>
      <c r="B92" s="25"/>
      <c r="C92" s="25">
        <v>27</v>
      </c>
      <c r="D92" s="12">
        <f>Reference!B194</f>
        <v>1423.2340999999999</v>
      </c>
      <c r="E92" s="13">
        <f>Reference!C194</f>
        <v>40.706899999999997</v>
      </c>
      <c r="F92" s="13">
        <f>Reference!D194</f>
        <v>41.096600000000002</v>
      </c>
      <c r="G92" s="13">
        <f>Reference!E194</f>
        <v>39.832900000000002</v>
      </c>
      <c r="H92" s="13">
        <f>Reference!F194</f>
        <v>12594.65</v>
      </c>
      <c r="I92" s="13">
        <f>Reference!G194</f>
        <v>4.0599999999999996</v>
      </c>
      <c r="J92" s="14">
        <f t="shared" si="12"/>
        <v>3.4985138888888887</v>
      </c>
      <c r="L92" s="12">
        <f>Test!B194</f>
        <v>1367.1238000000001</v>
      </c>
      <c r="M92" s="13">
        <f>Test!C194</f>
        <v>41.233400000000003</v>
      </c>
      <c r="N92" s="13">
        <f>Test!D194</f>
        <v>41.778399999999998</v>
      </c>
      <c r="O92" s="13">
        <f>Test!E194</f>
        <v>39.9816</v>
      </c>
      <c r="P92" s="13">
        <f>Test!F194</f>
        <v>12273.43</v>
      </c>
      <c r="Q92" s="13">
        <f>Test!G194</f>
        <v>3.93</v>
      </c>
      <c r="R92" s="14">
        <f t="shared" si="13"/>
        <v>3.4092861111111112</v>
      </c>
      <c r="S92" s="13">
        <f t="shared" si="14"/>
        <v>0.97449551992314198</v>
      </c>
      <c r="T92" s="13">
        <f t="shared" si="15"/>
        <v>0.96798029556650256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Reference!B195</f>
        <v>816.44050000000004</v>
      </c>
      <c r="E93" s="13">
        <f>Reference!C195</f>
        <v>38.311199999999999</v>
      </c>
      <c r="F93" s="13">
        <f>Reference!D195</f>
        <v>38.595100000000002</v>
      </c>
      <c r="G93" s="13">
        <f>Reference!E195</f>
        <v>36.907499999999999</v>
      </c>
      <c r="H93" s="13">
        <f>Reference!F195</f>
        <v>9381.67</v>
      </c>
      <c r="I93" s="13">
        <f>Reference!G195</f>
        <v>3.78</v>
      </c>
      <c r="J93" s="14">
        <f t="shared" si="12"/>
        <v>2.6060194444444447</v>
      </c>
      <c r="L93" s="12">
        <f>Test!B195</f>
        <v>779.45709999999997</v>
      </c>
      <c r="M93" s="13">
        <f>Test!C195</f>
        <v>39.216299999999997</v>
      </c>
      <c r="N93" s="13">
        <f>Test!D195</f>
        <v>39.630899999999997</v>
      </c>
      <c r="O93" s="13">
        <f>Test!E195</f>
        <v>37.113700000000001</v>
      </c>
      <c r="P93" s="13">
        <f>Test!F195</f>
        <v>9505.93</v>
      </c>
      <c r="Q93" s="13">
        <f>Test!G195</f>
        <v>3.07</v>
      </c>
      <c r="R93" s="14">
        <f t="shared" si="13"/>
        <v>2.640536111111111</v>
      </c>
      <c r="S93" s="13">
        <f t="shared" si="14"/>
        <v>1.0132449766406195</v>
      </c>
      <c r="T93" s="13">
        <f t="shared" si="15"/>
        <v>0.81216931216931221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Reference!B196</f>
        <v>479.70400000000001</v>
      </c>
      <c r="E94" s="17">
        <f>Reference!C196</f>
        <v>36.482500000000002</v>
      </c>
      <c r="F94" s="17">
        <f>Reference!D196</f>
        <v>36.683599999999998</v>
      </c>
      <c r="G94" s="17">
        <f>Reference!E196</f>
        <v>34.258899999999997</v>
      </c>
      <c r="H94" s="17">
        <f>Reference!F196</f>
        <v>5691.02</v>
      </c>
      <c r="I94" s="17">
        <f>Reference!G196</f>
        <v>2.44</v>
      </c>
      <c r="J94" s="18">
        <f t="shared" si="12"/>
        <v>1.5808388888888889</v>
      </c>
      <c r="L94" s="16">
        <f>Test!B196</f>
        <v>455.07940000000002</v>
      </c>
      <c r="M94" s="17">
        <f>Test!C196</f>
        <v>37.692300000000003</v>
      </c>
      <c r="N94" s="17">
        <f>Test!D196</f>
        <v>37.883899999999997</v>
      </c>
      <c r="O94" s="17">
        <f>Test!E196</f>
        <v>34.470700000000001</v>
      </c>
      <c r="P94" s="17">
        <f>Test!F196</f>
        <v>5644.79</v>
      </c>
      <c r="Q94" s="17">
        <f>Test!G196</f>
        <v>2.34</v>
      </c>
      <c r="R94" s="18">
        <f t="shared" si="13"/>
        <v>1.5679972222222223</v>
      </c>
      <c r="S94" s="13">
        <f t="shared" si="14"/>
        <v>0.99187667588586925</v>
      </c>
      <c r="T94" s="13">
        <f t="shared" si="15"/>
        <v>0.95901639344262291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Reference!B197</f>
        <v>11938.480799999999</v>
      </c>
      <c r="E95" s="10">
        <f>Reference!C197</f>
        <v>44.795900000000003</v>
      </c>
      <c r="F95" s="10">
        <f>Reference!D197</f>
        <v>45.447600000000001</v>
      </c>
      <c r="G95" s="10">
        <f>Reference!E197</f>
        <v>44.664200000000001</v>
      </c>
      <c r="H95" s="10">
        <f>Reference!F197</f>
        <v>83296.02</v>
      </c>
      <c r="I95" s="10">
        <f>Reference!G197</f>
        <v>35.950000000000003</v>
      </c>
      <c r="J95" s="11">
        <f t="shared" si="12"/>
        <v>23.137783333333335</v>
      </c>
      <c r="L95" s="9">
        <f>Test!B197</f>
        <v>11588.5584</v>
      </c>
      <c r="M95" s="10">
        <f>Test!C197</f>
        <v>45.262999999999998</v>
      </c>
      <c r="N95" s="10">
        <f>Test!D197</f>
        <v>45.892099999999999</v>
      </c>
      <c r="O95" s="10">
        <f>Test!E197</f>
        <v>44.795699999999997</v>
      </c>
      <c r="P95" s="10">
        <f>Test!F197</f>
        <v>83193.710000000006</v>
      </c>
      <c r="Q95" s="10">
        <f>Test!G197</f>
        <v>34.21</v>
      </c>
      <c r="R95" s="11">
        <f t="shared" si="13"/>
        <v>23.10936388888889</v>
      </c>
      <c r="S95" s="13">
        <f t="shared" si="14"/>
        <v>0.99877173002983821</v>
      </c>
      <c r="T95" s="13">
        <f t="shared" si="15"/>
        <v>0.9515994436717663</v>
      </c>
      <c r="U95" s="48"/>
      <c r="V95" s="30">
        <f>bdrate($D95:$D98,E95:E98,$L95:$L98,M95:M98)</f>
        <v>-0.17923341780261526</v>
      </c>
      <c r="W95" s="35">
        <f>bdrate($D95:$D98,F95:F98,$L95:$L98,N95:N98)</f>
        <v>-0.15011556321426145</v>
      </c>
      <c r="X95" s="35">
        <f>bdrate($D95:$D98,G95:G98,$L95:$L98,O95:O98)</f>
        <v>-5.7215506016149886E-2</v>
      </c>
      <c r="Y95" s="33">
        <f>bdrateOld($D95:$D98,E95:E98,$L95:$L98,M95:M98)</f>
        <v>-0.17810786333049078</v>
      </c>
      <c r="Z95" s="37">
        <f>bdrateOld($D95:$D98,F95:F98,$L95:$L98,N95:N98)</f>
        <v>-0.1492169644733834</v>
      </c>
      <c r="AA95" s="38">
        <f>bdrateOld($D95:$D98,G95:G98,$L95:$L98,O95:O98)</f>
        <v>-5.7260757296800802E-2</v>
      </c>
    </row>
    <row r="96" spans="1:27" x14ac:dyDescent="0.2">
      <c r="A96" s="25"/>
      <c r="B96" s="25"/>
      <c r="C96" s="25">
        <v>27</v>
      </c>
      <c r="D96" s="12">
        <f>Reference!B198</f>
        <v>7384.5951999999997</v>
      </c>
      <c r="E96" s="13">
        <f>Reference!C198</f>
        <v>41.767400000000002</v>
      </c>
      <c r="F96" s="13">
        <f>Reference!D198</f>
        <v>42.277500000000003</v>
      </c>
      <c r="G96" s="13">
        <f>Reference!E198</f>
        <v>41.588900000000002</v>
      </c>
      <c r="H96" s="13">
        <f>Reference!F198</f>
        <v>63072.12</v>
      </c>
      <c r="I96" s="13">
        <f>Reference!G198</f>
        <v>25.7</v>
      </c>
      <c r="J96" s="14">
        <f t="shared" si="12"/>
        <v>17.520033333333334</v>
      </c>
      <c r="L96" s="12">
        <f>Test!B198</f>
        <v>7184.4823999999999</v>
      </c>
      <c r="M96" s="13">
        <f>Test!C198</f>
        <v>42.4529</v>
      </c>
      <c r="N96" s="13">
        <f>Test!D198</f>
        <v>42.872399999999999</v>
      </c>
      <c r="O96" s="13">
        <f>Test!E198</f>
        <v>41.772799999999997</v>
      </c>
      <c r="P96" s="13">
        <f>Test!F198</f>
        <v>64179.73</v>
      </c>
      <c r="Q96" s="13">
        <f>Test!G198</f>
        <v>25.25</v>
      </c>
      <c r="R96" s="14">
        <f t="shared" si="13"/>
        <v>17.82770277777778</v>
      </c>
      <c r="S96" s="13">
        <f t="shared" si="14"/>
        <v>1.0175610079382142</v>
      </c>
      <c r="T96" s="13">
        <f t="shared" si="15"/>
        <v>0.98249027237354092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Reference!B199</f>
        <v>4230.3191999999999</v>
      </c>
      <c r="E97" s="13">
        <f>Reference!C199</f>
        <v>39.505600000000001</v>
      </c>
      <c r="F97" s="13">
        <f>Reference!D199</f>
        <v>39.864699999999999</v>
      </c>
      <c r="G97" s="13">
        <f>Reference!E199</f>
        <v>38.5702</v>
      </c>
      <c r="H97" s="13">
        <f>Reference!F199</f>
        <v>47328.5</v>
      </c>
      <c r="I97" s="13">
        <f>Reference!G199</f>
        <v>19.38</v>
      </c>
      <c r="J97" s="14">
        <f t="shared" si="12"/>
        <v>13.146805555555556</v>
      </c>
      <c r="L97" s="12">
        <f>Test!B199</f>
        <v>4117.8335999999999</v>
      </c>
      <c r="M97" s="13">
        <f>Test!C199</f>
        <v>40.331099999999999</v>
      </c>
      <c r="N97" s="13">
        <f>Test!D199</f>
        <v>40.536499999999997</v>
      </c>
      <c r="O97" s="13">
        <f>Test!E199</f>
        <v>38.751800000000003</v>
      </c>
      <c r="P97" s="13">
        <f>Test!F199</f>
        <v>48733.7</v>
      </c>
      <c r="Q97" s="13">
        <f>Test!G199</f>
        <v>20.04</v>
      </c>
      <c r="R97" s="14">
        <f t="shared" si="13"/>
        <v>13.537138888888888</v>
      </c>
      <c r="S97" s="13">
        <f t="shared" si="14"/>
        <v>1.0296903557053361</v>
      </c>
      <c r="T97" s="13">
        <f t="shared" si="15"/>
        <v>1.0340557275541795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Reference!B200</f>
        <v>2406.0320000000002</v>
      </c>
      <c r="E98" s="17">
        <f>Reference!C200</f>
        <v>37.8217</v>
      </c>
      <c r="F98" s="17">
        <f>Reference!D200</f>
        <v>38.095599999999997</v>
      </c>
      <c r="G98" s="17">
        <f>Reference!E200</f>
        <v>35.790399999999998</v>
      </c>
      <c r="H98" s="17">
        <f>Reference!F200</f>
        <v>29197.84</v>
      </c>
      <c r="I98" s="17">
        <f>Reference!G200</f>
        <v>15.68</v>
      </c>
      <c r="J98" s="18">
        <f t="shared" si="12"/>
        <v>8.1105111111111103</v>
      </c>
      <c r="L98" s="16">
        <f>Test!B200</f>
        <v>2336.1</v>
      </c>
      <c r="M98" s="17">
        <f>Test!C200</f>
        <v>38.656300000000002</v>
      </c>
      <c r="N98" s="17">
        <f>Test!D200</f>
        <v>38.752299999999998</v>
      </c>
      <c r="O98" s="17">
        <f>Test!E200</f>
        <v>35.932099999999998</v>
      </c>
      <c r="P98" s="17">
        <f>Test!F200</f>
        <v>28980.84</v>
      </c>
      <c r="Q98" s="17">
        <f>Test!G200</f>
        <v>15.07</v>
      </c>
      <c r="R98" s="18">
        <f t="shared" si="13"/>
        <v>8.0502333333333329</v>
      </c>
      <c r="S98" s="13">
        <f t="shared" si="14"/>
        <v>0.99256794338211318</v>
      </c>
      <c r="T98" s="13">
        <f t="shared" si="15"/>
        <v>0.96109693877551028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Reference!B201</f>
        <v>2311.2545</v>
      </c>
      <c r="E99" s="10">
        <f>Reference!C201</f>
        <v>45.1235</v>
      </c>
      <c r="F99" s="10">
        <f>Reference!D201</f>
        <v>45.4452</v>
      </c>
      <c r="G99" s="10">
        <f>Reference!E201</f>
        <v>46.6629</v>
      </c>
      <c r="H99" s="10">
        <f>Reference!F201</f>
        <v>11801.32</v>
      </c>
      <c r="I99" s="10">
        <f>Reference!G201</f>
        <v>6.52</v>
      </c>
      <c r="J99" s="11">
        <f t="shared" si="12"/>
        <v>3.2781444444444445</v>
      </c>
      <c r="L99" s="9">
        <f>Test!B201</f>
        <v>2246.3708000000001</v>
      </c>
      <c r="M99" s="10">
        <f>Test!C201</f>
        <v>45.3979</v>
      </c>
      <c r="N99" s="10">
        <f>Test!D201</f>
        <v>45.9208</v>
      </c>
      <c r="O99" s="10">
        <f>Test!E201</f>
        <v>46.8307</v>
      </c>
      <c r="P99" s="10">
        <f>Test!F201</f>
        <v>12290.28</v>
      </c>
      <c r="Q99" s="10">
        <f>Test!G201</f>
        <v>6.67</v>
      </c>
      <c r="R99" s="11">
        <f t="shared" si="13"/>
        <v>3.413966666666667</v>
      </c>
      <c r="S99" s="13">
        <f t="shared" si="14"/>
        <v>1.0414326532964109</v>
      </c>
      <c r="T99" s="13">
        <f t="shared" si="15"/>
        <v>1.0230061349693251</v>
      </c>
      <c r="U99" s="48"/>
      <c r="V99" s="30">
        <f>bdrate($D99:$D102,E99:E102,$L99:$L102,M99:M102)</f>
        <v>-3.9214717299823731E-2</v>
      </c>
      <c r="W99" s="35">
        <f>bdrate($D99:$D102,F99:F102,$L99:$L102,N99:N102)</f>
        <v>-0.11851264202450917</v>
      </c>
      <c r="X99" s="35">
        <f>bdrate($D99:$D102,G99:G102,$L99:$L102,O99:O102)</f>
        <v>-3.8651927068909853E-2</v>
      </c>
      <c r="Y99" s="33">
        <f>bdrateOld($D99:$D102,E99:E102,$L99:$L102,M99:M102)</f>
        <v>-5.466065649805929E-2</v>
      </c>
      <c r="Z99" s="37">
        <f>bdrateOld($D99:$D102,F99:F102,$L99:$L102,N99:N102)</f>
        <v>-0.12949246421152616</v>
      </c>
      <c r="AA99" s="38">
        <f>bdrateOld($D99:$D102,G99:G102,$L99:$L102,O99:O102)</f>
        <v>-3.8671181330988014E-2</v>
      </c>
    </row>
    <row r="100" spans="1:27" x14ac:dyDescent="0.2">
      <c r="A100" s="25"/>
      <c r="B100" s="25"/>
      <c r="C100" s="25">
        <v>27</v>
      </c>
      <c r="D100" s="12">
        <f>Reference!B202</f>
        <v>1712.4032</v>
      </c>
      <c r="E100" s="13">
        <f>Reference!C202</f>
        <v>41.235399999999998</v>
      </c>
      <c r="F100" s="13">
        <f>Reference!D202</f>
        <v>41.509599999999999</v>
      </c>
      <c r="G100" s="13">
        <f>Reference!E202</f>
        <v>42.7958</v>
      </c>
      <c r="H100" s="13">
        <f>Reference!F202</f>
        <v>10364.77</v>
      </c>
      <c r="I100" s="13">
        <f>Reference!G202</f>
        <v>4.99</v>
      </c>
      <c r="J100" s="14">
        <f t="shared" si="12"/>
        <v>2.8791027777777778</v>
      </c>
      <c r="L100" s="12">
        <f>Test!B202</f>
        <v>1662.7689</v>
      </c>
      <c r="M100" s="13">
        <f>Test!C202</f>
        <v>41.283700000000003</v>
      </c>
      <c r="N100" s="13">
        <f>Test!D202</f>
        <v>42.364899999999999</v>
      </c>
      <c r="O100" s="13">
        <f>Test!E202</f>
        <v>42.993099999999998</v>
      </c>
      <c r="P100" s="13">
        <f>Test!F202</f>
        <v>10659.35</v>
      </c>
      <c r="Q100" s="13">
        <f>Test!G202</f>
        <v>4.84</v>
      </c>
      <c r="R100" s="14">
        <f t="shared" si="13"/>
        <v>2.9609305555555556</v>
      </c>
      <c r="S100" s="13">
        <f t="shared" si="14"/>
        <v>1.0284212770760952</v>
      </c>
      <c r="T100" s="13">
        <f t="shared" si="15"/>
        <v>0.96993987975951901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Reference!B203</f>
        <v>1307.5112999999999</v>
      </c>
      <c r="E101" s="13">
        <f>Reference!C203</f>
        <v>39.130099999999999</v>
      </c>
      <c r="F101" s="13">
        <f>Reference!D203</f>
        <v>39.212699999999998</v>
      </c>
      <c r="G101" s="13">
        <f>Reference!E203</f>
        <v>39.292000000000002</v>
      </c>
      <c r="H101" s="13">
        <f>Reference!F203</f>
        <v>9961.8700000000008</v>
      </c>
      <c r="I101" s="13">
        <f>Reference!G203</f>
        <v>4.01</v>
      </c>
      <c r="J101" s="14">
        <f t="shared" si="12"/>
        <v>2.7671861111111111</v>
      </c>
      <c r="L101" s="12">
        <f>Test!B203</f>
        <v>1278.9386999999999</v>
      </c>
      <c r="M101" s="13">
        <f>Test!C203</f>
        <v>39.240499999999997</v>
      </c>
      <c r="N101" s="13">
        <f>Test!D203</f>
        <v>40.545299999999997</v>
      </c>
      <c r="O101" s="13">
        <f>Test!E203</f>
        <v>39.519199999999998</v>
      </c>
      <c r="P101" s="13">
        <f>Test!F203</f>
        <v>10229.129999999999</v>
      </c>
      <c r="Q101" s="13">
        <f>Test!G203</f>
        <v>3.92</v>
      </c>
      <c r="R101" s="14">
        <f t="shared" si="13"/>
        <v>2.8414249999999996</v>
      </c>
      <c r="S101" s="13">
        <f t="shared" si="14"/>
        <v>1.026828296293768</v>
      </c>
      <c r="T101" s="13">
        <f t="shared" si="15"/>
        <v>0.97755610972568585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Reference!B204</f>
        <v>985.59950000000003</v>
      </c>
      <c r="E102" s="17">
        <f>Reference!C204</f>
        <v>38.131599999999999</v>
      </c>
      <c r="F102" s="17">
        <f>Reference!D204</f>
        <v>37.8752</v>
      </c>
      <c r="G102" s="17">
        <f>Reference!E204</f>
        <v>35.404600000000002</v>
      </c>
      <c r="H102" s="17">
        <f>Reference!F204</f>
        <v>9294.2900000000009</v>
      </c>
      <c r="I102" s="17">
        <f>Reference!G204</f>
        <v>3.52</v>
      </c>
      <c r="J102" s="18">
        <f t="shared" si="12"/>
        <v>2.5817472222222224</v>
      </c>
      <c r="L102" s="16">
        <f>Test!B204</f>
        <v>974.81449999999995</v>
      </c>
      <c r="M102" s="17">
        <f>Test!C204</f>
        <v>38.368600000000001</v>
      </c>
      <c r="N102" s="17">
        <f>Test!D204</f>
        <v>39.656399999999998</v>
      </c>
      <c r="O102" s="17">
        <f>Test!E204</f>
        <v>35.5871</v>
      </c>
      <c r="P102" s="17">
        <f>Test!F204</f>
        <v>9231.99</v>
      </c>
      <c r="Q102" s="17">
        <f>Test!G204</f>
        <v>3.58</v>
      </c>
      <c r="R102" s="18">
        <f t="shared" si="13"/>
        <v>2.5644416666666667</v>
      </c>
      <c r="S102" s="13">
        <f t="shared" si="14"/>
        <v>0.99329695974625265</v>
      </c>
      <c r="T102" s="13">
        <f t="shared" si="15"/>
        <v>1.0170454545454546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Reference!B205</f>
        <v>530.7079</v>
      </c>
      <c r="E103" s="10">
        <f>Reference!C205</f>
        <v>53.551299999999998</v>
      </c>
      <c r="F103" s="10">
        <f>Reference!D205</f>
        <v>54.528500000000001</v>
      </c>
      <c r="G103" s="10">
        <f>Reference!E205</f>
        <v>50.879199999999997</v>
      </c>
      <c r="H103" s="10">
        <f>Reference!F205</f>
        <v>9194.02</v>
      </c>
      <c r="I103" s="10">
        <f>Reference!G205</f>
        <v>4.55</v>
      </c>
      <c r="J103" s="11">
        <f t="shared" si="12"/>
        <v>2.5538944444444445</v>
      </c>
      <c r="L103" s="9">
        <f>Test!B205</f>
        <v>515.55870000000004</v>
      </c>
      <c r="M103" s="10">
        <f>Test!C205</f>
        <v>54.150500000000001</v>
      </c>
      <c r="N103" s="10">
        <f>Test!D205</f>
        <v>55.115099999999998</v>
      </c>
      <c r="O103" s="10">
        <f>Test!E205</f>
        <v>51.0229</v>
      </c>
      <c r="P103" s="10">
        <f>Test!F205</f>
        <v>9059.0400000000009</v>
      </c>
      <c r="Q103" s="10">
        <f>Test!G205</f>
        <v>4.3499999999999996</v>
      </c>
      <c r="R103" s="11">
        <f t="shared" si="13"/>
        <v>2.5164000000000004</v>
      </c>
      <c r="S103" s="13">
        <f t="shared" si="14"/>
        <v>0.9853187180362889</v>
      </c>
      <c r="T103" s="13">
        <f t="shared" si="15"/>
        <v>0.95604395604395598</v>
      </c>
      <c r="U103" s="48"/>
      <c r="V103" s="30">
        <f>bdrate($D103:$D106,E103:E106,$L103:$L106,M103:M106)</f>
        <v>-0.16325165838660904</v>
      </c>
      <c r="W103" s="35">
        <f>bdrate($D103:$D106,F103:F106,$L103:$L106,N103:N106)</f>
        <v>-0.18771400572810637</v>
      </c>
      <c r="X103" s="35">
        <f>bdrate($D103:$D106,G103:G106,$L103:$L106,O103:O106)</f>
        <v>-5.8066425763628304E-2</v>
      </c>
      <c r="Y103" s="33">
        <f>bdrateOld($D103:$D106,E103:E106,$L103:$L106,M103:M106)</f>
        <v>-0.16200021676402454</v>
      </c>
      <c r="Z103" s="37">
        <f>bdrateOld($D103:$D106,F103:F106,$L103:$L106,N103:N106)</f>
        <v>-0.18370574109222415</v>
      </c>
      <c r="AA103" s="38">
        <f>bdrateOld($D103:$D106,G103:G106,$L103:$L106,O103:O106)</f>
        <v>-5.8086271555566671E-2</v>
      </c>
    </row>
    <row r="104" spans="1:27" x14ac:dyDescent="0.2">
      <c r="A104" s="25"/>
      <c r="B104" s="25"/>
      <c r="C104" s="25">
        <v>27</v>
      </c>
      <c r="D104" s="12">
        <f>Reference!B206</f>
        <v>350.93239999999997</v>
      </c>
      <c r="E104" s="13">
        <f>Reference!C206</f>
        <v>50.006</v>
      </c>
      <c r="F104" s="13">
        <f>Reference!D206</f>
        <v>51.207599999999999</v>
      </c>
      <c r="G104" s="13">
        <f>Reference!E206</f>
        <v>47.265700000000002</v>
      </c>
      <c r="H104" s="13">
        <f>Reference!F206</f>
        <v>7011.68</v>
      </c>
      <c r="I104" s="13">
        <f>Reference!G206</f>
        <v>4.2300000000000004</v>
      </c>
      <c r="J104" s="14">
        <f t="shared" si="12"/>
        <v>1.947688888888889</v>
      </c>
      <c r="L104" s="12">
        <f>Test!B206</f>
        <v>338.40030000000002</v>
      </c>
      <c r="M104" s="13">
        <f>Test!C206</f>
        <v>50.840899999999998</v>
      </c>
      <c r="N104" s="13">
        <f>Test!D206</f>
        <v>52.023000000000003</v>
      </c>
      <c r="O104" s="13">
        <f>Test!E206</f>
        <v>47.451799999999999</v>
      </c>
      <c r="P104" s="13">
        <f>Test!F206</f>
        <v>7089.21</v>
      </c>
      <c r="Q104" s="13">
        <f>Test!G206</f>
        <v>4.09</v>
      </c>
      <c r="R104" s="14">
        <f t="shared" si="13"/>
        <v>1.969225</v>
      </c>
      <c r="S104" s="13">
        <f t="shared" si="14"/>
        <v>1.0110572644501745</v>
      </c>
      <c r="T104" s="13">
        <f t="shared" si="15"/>
        <v>0.96690307328605185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Reference!B207</f>
        <v>235.24600000000001</v>
      </c>
      <c r="E105" s="13">
        <f>Reference!C207</f>
        <v>47.354700000000001</v>
      </c>
      <c r="F105" s="13">
        <f>Reference!D207</f>
        <v>48.6006</v>
      </c>
      <c r="G105" s="13">
        <f>Reference!E207</f>
        <v>43.936</v>
      </c>
      <c r="H105" s="13">
        <f>Reference!F207</f>
        <v>5889.04</v>
      </c>
      <c r="I105" s="13">
        <f>Reference!G207</f>
        <v>3.82</v>
      </c>
      <c r="J105" s="14">
        <f t="shared" si="12"/>
        <v>1.6358444444444444</v>
      </c>
      <c r="L105" s="12">
        <f>Test!B207</f>
        <v>226.19210000000001</v>
      </c>
      <c r="M105" s="13">
        <f>Test!C207</f>
        <v>48.4557</v>
      </c>
      <c r="N105" s="13">
        <f>Test!D207</f>
        <v>50.125599999999999</v>
      </c>
      <c r="O105" s="13">
        <f>Test!E207</f>
        <v>44.144300000000001</v>
      </c>
      <c r="P105" s="13">
        <f>Test!F207</f>
        <v>5781.6</v>
      </c>
      <c r="Q105" s="13">
        <f>Test!G207</f>
        <v>3.59</v>
      </c>
      <c r="R105" s="14">
        <f t="shared" si="13"/>
        <v>1.6060000000000001</v>
      </c>
      <c r="S105" s="13">
        <f t="shared" si="14"/>
        <v>0.98175593984758136</v>
      </c>
      <c r="T105" s="13">
        <f t="shared" si="15"/>
        <v>0.93979057591623039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Reference!B208</f>
        <v>155.67750000000001</v>
      </c>
      <c r="E106" s="17">
        <f>Reference!C208</f>
        <v>45.403599999999997</v>
      </c>
      <c r="F106" s="17">
        <f>Reference!D208</f>
        <v>46.7485</v>
      </c>
      <c r="G106" s="17">
        <f>Reference!E208</f>
        <v>40.531199999999998</v>
      </c>
      <c r="H106" s="17">
        <f>Reference!F208</f>
        <v>4684.0600000000004</v>
      </c>
      <c r="I106" s="17">
        <f>Reference!G208</f>
        <v>3.28</v>
      </c>
      <c r="J106" s="18">
        <f t="shared" si="12"/>
        <v>1.3011277777777779</v>
      </c>
      <c r="L106" s="16">
        <f>Test!B208</f>
        <v>148.92509999999999</v>
      </c>
      <c r="M106" s="17">
        <f>Test!C208</f>
        <v>46.631399999999999</v>
      </c>
      <c r="N106" s="17">
        <f>Test!D208</f>
        <v>48.592599999999997</v>
      </c>
      <c r="O106" s="17">
        <f>Test!E208</f>
        <v>40.701900000000002</v>
      </c>
      <c r="P106" s="17">
        <f>Test!F208</f>
        <v>4636.3999999999996</v>
      </c>
      <c r="Q106" s="17">
        <f>Test!G208</f>
        <v>3.13</v>
      </c>
      <c r="R106" s="18">
        <f t="shared" si="13"/>
        <v>1.2878888888888889</v>
      </c>
      <c r="S106" s="17">
        <f t="shared" si="14"/>
        <v>0.98982506628864686</v>
      </c>
      <c r="T106" s="17">
        <f t="shared" si="15"/>
        <v>0.9542682926829269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>
        <f>GEOMEAN(I3:I14)</f>
        <v>27.610063989488609</v>
      </c>
      <c r="J107" s="48">
        <f>GEOMEAN(J3:J14)</f>
        <v>8.4230555701162313</v>
      </c>
      <c r="Q107" s="48">
        <f>GEOMEAN(Q3:Q14)</f>
        <v>26.327725458059192</v>
      </c>
      <c r="R107" s="48">
        <f>GEOMEAN(R3:R14)</f>
        <v>8.3694078865586317</v>
      </c>
      <c r="S107" s="48">
        <f>GEOMEAN(S3:S14)</f>
        <v>0.99363085247259508</v>
      </c>
      <c r="T107" s="48">
        <f>GEOMEAN(T3:T14)</f>
        <v>0.95355539444176529</v>
      </c>
      <c r="V107" s="30">
        <f t="shared" ref="V107:AA107" si="16">AVERAGE(V3:V14)</f>
        <v>-0.29541500324691877</v>
      </c>
      <c r="W107" s="35">
        <f t="shared" si="16"/>
        <v>-0.27838149408799973</v>
      </c>
      <c r="X107" s="35">
        <f t="shared" si="16"/>
        <v>-9.7868186482595987E-2</v>
      </c>
      <c r="Y107" s="30">
        <f t="shared" si="16"/>
        <v>-0.295841320084684</v>
      </c>
      <c r="Z107" s="35">
        <f t="shared" si="16"/>
        <v>-0.27574260122073535</v>
      </c>
      <c r="AA107" s="36">
        <f t="shared" si="16"/>
        <v>-9.7210185111964595E-2</v>
      </c>
    </row>
    <row r="108" spans="1:27" x14ac:dyDescent="0.2">
      <c r="B108" s="15" t="s">
        <v>7</v>
      </c>
      <c r="I108" s="48">
        <f>GEOMEAN(I15:I26)</f>
        <v>32.744278604672701</v>
      </c>
      <c r="J108" s="48">
        <f>GEOMEAN(J15:J26)</f>
        <v>14.074528326871999</v>
      </c>
      <c r="Q108" s="48">
        <f>GEOMEAN(Q15:Q26)</f>
        <v>32.679960856464241</v>
      </c>
      <c r="R108" s="48">
        <f>GEOMEAN(R15:R26)</f>
        <v>14.428695539854939</v>
      </c>
      <c r="S108" s="48">
        <f>GEOMEAN(S15:S26)</f>
        <v>1.025163700321434</v>
      </c>
      <c r="T108" s="48">
        <f>GEOMEAN(T15:T26)</f>
        <v>0.99803575613972206</v>
      </c>
      <c r="V108" s="33">
        <f t="shared" ref="V108:AA108" si="17">AVERAGE(V15:V26)</f>
        <v>-0.12087729146007993</v>
      </c>
      <c r="W108" s="37">
        <f t="shared" si="17"/>
        <v>-7.1389573685304589E-2</v>
      </c>
      <c r="X108" s="37">
        <f t="shared" si="17"/>
        <v>-2.8938447695803633E-2</v>
      </c>
      <c r="Y108" s="33">
        <f t="shared" si="17"/>
        <v>-0.11843794964485561</v>
      </c>
      <c r="Z108" s="37">
        <f t="shared" si="17"/>
        <v>-7.0370643721393608E-2</v>
      </c>
      <c r="AA108" s="38">
        <f t="shared" si="17"/>
        <v>-2.8488557564546341E-2</v>
      </c>
    </row>
    <row r="109" spans="1:27" x14ac:dyDescent="0.2">
      <c r="B109" s="15" t="s">
        <v>8</v>
      </c>
      <c r="I109" s="48">
        <f>GEOMEAN(I27:I46)</f>
        <v>16.005886536020384</v>
      </c>
      <c r="J109" s="48">
        <f>GEOMEAN(J27:J46)</f>
        <v>7.4721209440523211</v>
      </c>
      <c r="Q109" s="48">
        <f>GEOMEAN(Q27:Q46)</f>
        <v>16.092336944572157</v>
      </c>
      <c r="R109" s="48">
        <f>GEOMEAN(R27:R46)</f>
        <v>7.5903574495384207</v>
      </c>
      <c r="S109" s="48">
        <f>GEOMEAN(S27:S46)</f>
        <v>1.0158236873267172</v>
      </c>
      <c r="T109" s="48">
        <f>GEOMEAN(T27:T46)</f>
        <v>1.0054011634005542</v>
      </c>
      <c r="V109" s="33" t="e">
        <f t="shared" ref="V109:AA109" si="18">AVERAGE(V27:V46)</f>
        <v>#VALUE!</v>
      </c>
      <c r="W109" s="37">
        <f t="shared" si="18"/>
        <v>-0.12851723650801303</v>
      </c>
      <c r="X109" s="37">
        <f t="shared" si="18"/>
        <v>-0.20191394724262257</v>
      </c>
      <c r="Y109" s="33">
        <f t="shared" si="18"/>
        <v>-8.6089844589982659E-2</v>
      </c>
      <c r="Z109" s="37">
        <f t="shared" si="18"/>
        <v>0.12692984635388299</v>
      </c>
      <c r="AA109" s="38">
        <f t="shared" si="18"/>
        <v>-9.7201990568485993E-3</v>
      </c>
    </row>
    <row r="110" spans="1:27" x14ac:dyDescent="0.2">
      <c r="B110" s="15" t="s">
        <v>9</v>
      </c>
      <c r="I110" s="48">
        <f>GEOMEAN(I47:I62)</f>
        <v>3.4892200538573732</v>
      </c>
      <c r="J110" s="48">
        <f>GEOMEAN(J47:J62)</f>
        <v>1.8626029815163563</v>
      </c>
      <c r="Q110" s="48">
        <f>GEOMEAN(Q47:Q62)</f>
        <v>3.5085701755239342</v>
      </c>
      <c r="R110" s="48">
        <f>GEOMEAN(R47:R62)</f>
        <v>1.8841789319276727</v>
      </c>
      <c r="S110" s="48">
        <f>GEOMEAN(S47:S62)</f>
        <v>1.0115837624149788</v>
      </c>
      <c r="T110" s="48">
        <f>GEOMEAN(T47:T62)</f>
        <v>1.0055456868205173</v>
      </c>
      <c r="V110" s="33" t="e">
        <f t="shared" ref="V110:AA110" si="19">AVERAGE(V47:V62)</f>
        <v>#VALUE!</v>
      </c>
      <c r="W110" s="37">
        <f t="shared" si="19"/>
        <v>-1.4148519772724855E-2</v>
      </c>
      <c r="X110" s="37">
        <f t="shared" si="19"/>
        <v>2.4850167135714862E-5</v>
      </c>
      <c r="Y110" s="33" t="e">
        <f t="shared" si="19"/>
        <v>#VALUE!</v>
      </c>
      <c r="Z110" s="37">
        <f t="shared" si="19"/>
        <v>-1.399298661705628E-2</v>
      </c>
      <c r="AA110" s="38">
        <f t="shared" si="19"/>
        <v>-3.6469776586997571E-4</v>
      </c>
    </row>
    <row r="111" spans="1:27" x14ac:dyDescent="0.2">
      <c r="B111" s="15" t="s">
        <v>12</v>
      </c>
      <c r="I111" s="48">
        <f>GEOMEAN(I63:I78)</f>
        <v>1.0350946987808636</v>
      </c>
      <c r="J111" s="48">
        <f>GEOMEAN(J63:J78)</f>
        <v>0.53185606191561485</v>
      </c>
      <c r="Q111" s="48">
        <f>GEOMEAN(Q63:Q78)</f>
        <v>1.0420101797782793</v>
      </c>
      <c r="R111" s="48">
        <f>GEOMEAN(R63:R78)</f>
        <v>0.54347307224021146</v>
      </c>
      <c r="S111" s="48">
        <f>GEOMEAN(S63:S78)</f>
        <v>1.0218423952577602</v>
      </c>
      <c r="T111" s="48">
        <f>GEOMEAN(T63:T78)</f>
        <v>1.0066810128634227</v>
      </c>
      <c r="V111" s="33">
        <f t="shared" ref="V111:AA111" si="20">AVERAGE(V63:V78)</f>
        <v>-0.1052389329040864</v>
      </c>
      <c r="W111" s="37">
        <f t="shared" si="20"/>
        <v>-0.10543633335954161</v>
      </c>
      <c r="X111" s="37">
        <f t="shared" si="20"/>
        <v>-2.3120509449629706E-2</v>
      </c>
      <c r="Y111" s="33">
        <f t="shared" si="20"/>
        <v>-0.1029893664468062</v>
      </c>
      <c r="Z111" s="37">
        <f t="shared" si="20"/>
        <v>-0.10440814469121842</v>
      </c>
      <c r="AA111" s="38">
        <f t="shared" si="20"/>
        <v>-2.3093061776330193E-2</v>
      </c>
    </row>
    <row r="112" spans="1:27" x14ac:dyDescent="0.2">
      <c r="B112" s="15" t="s">
        <v>10</v>
      </c>
      <c r="I112" s="48"/>
      <c r="J112" s="48"/>
      <c r="Q112" s="48"/>
      <c r="R112" s="48"/>
      <c r="S112" s="48"/>
      <c r="T112" s="48"/>
      <c r="V112" s="33"/>
      <c r="W112" s="37"/>
      <c r="X112" s="37"/>
      <c r="Y112" s="33"/>
      <c r="Z112" s="37"/>
      <c r="AA112" s="38"/>
    </row>
    <row r="113" spans="1:27" ht="12.75" customHeight="1" thickBot="1" x14ac:dyDescent="0.25">
      <c r="B113" s="15" t="s">
        <v>13</v>
      </c>
      <c r="I113" s="48">
        <f>GEOMEAN(I91:I106)</f>
        <v>6.3267402650759159</v>
      </c>
      <c r="J113" s="48">
        <f>GEOMEAN(J91:J106)</f>
        <v>3.7948033885443491</v>
      </c>
      <c r="Q113" s="48">
        <f>GEOMEAN(Q91:Q106)</f>
        <v>6.0937578993034132</v>
      </c>
      <c r="R113" s="48">
        <f>GEOMEAN(R91:R106)</f>
        <v>3.8075284742665225</v>
      </c>
      <c r="S113" s="48">
        <f>GEOMEAN(S91:S106)</f>
        <v>1.0033532924948332</v>
      </c>
      <c r="T113" s="48">
        <f>GEOMEAN(T91:T106)</f>
        <v>0.9631749754200305</v>
      </c>
      <c r="V113" s="33">
        <f t="shared" ref="V113:AA113" si="21">AVERAGE(V91:V106)</f>
        <v>-0.13984910157765043</v>
      </c>
      <c r="W113" s="37">
        <f t="shared" si="21"/>
        <v>-0.16293747492000329</v>
      </c>
      <c r="X113" s="37">
        <f t="shared" si="21"/>
        <v>-5.6213595071730932E-2</v>
      </c>
      <c r="Y113" s="33">
        <f t="shared" si="21"/>
        <v>-0.14302528992812075</v>
      </c>
      <c r="Z113" s="37">
        <f t="shared" si="21"/>
        <v>-0.16409098025308042</v>
      </c>
      <c r="AA113" s="38">
        <f t="shared" si="21"/>
        <v>-5.6232453605983584E-2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>
        <f>GEOMEAN(I3:I62,I79:I90)</f>
        <v>13.72128258602797</v>
      </c>
      <c r="J114" s="50">
        <f>GEOMEAN(J3:J62,J79:J90)</f>
        <v>5.9973686574720988</v>
      </c>
      <c r="K114" s="2"/>
      <c r="L114" s="2"/>
      <c r="M114" s="2"/>
      <c r="N114" s="2"/>
      <c r="O114" s="2"/>
      <c r="P114" s="2"/>
      <c r="Q114" s="50">
        <f>GEOMEAN(Q3:Q62,Q79:Q90)</f>
        <v>13.630550329961837</v>
      </c>
      <c r="R114" s="50">
        <f>GEOMEAN(R3:R62,R79:R90)</f>
        <v>6.0697528595020058</v>
      </c>
      <c r="S114" s="50">
        <f>GEOMEAN(S3:S62,S79:S90)</f>
        <v>1.012069326760449</v>
      </c>
      <c r="T114" s="50">
        <f>GEOMEAN(T3:T62,T79:T90)</f>
        <v>0.99338747996061805</v>
      </c>
      <c r="U114" s="2"/>
      <c r="V114" s="34" t="e">
        <f t="shared" ref="V114:AA114" si="22">AVERAGE(V3:V62,V79:V90)</f>
        <v>#VALUE!</v>
      </c>
      <c r="W114" s="39">
        <f t="shared" si="22"/>
        <v>-0.11656623099672518</v>
      </c>
      <c r="X114" s="39">
        <f t="shared" si="22"/>
        <v>-9.2659349205317917E-2</v>
      </c>
      <c r="Y114" s="34" t="e">
        <f t="shared" si="22"/>
        <v>#VALUE!</v>
      </c>
      <c r="Z114" s="39">
        <f t="shared" si="22"/>
        <v>-3.0644163301679798E-2</v>
      </c>
      <c r="AA114" s="40">
        <f t="shared" si="22"/>
        <v>-2.8477067625150381E-2</v>
      </c>
    </row>
    <row r="115" spans="1:27" x14ac:dyDescent="0.2">
      <c r="B115" s="15" t="s">
        <v>78</v>
      </c>
      <c r="I115" s="81">
        <f>GEOMEAN(I3:I106)</f>
        <v>7.6510324333590622</v>
      </c>
      <c r="J115" s="81">
        <f>GEOMEAN(J3:J106)</f>
        <v>3.6341788271371147</v>
      </c>
      <c r="Q115" s="81">
        <f>GEOMEAN(Q3:Q106)</f>
        <v>7.5772214131813129</v>
      </c>
      <c r="R115" s="81">
        <f>GEOMEAN(R3:R106)</f>
        <v>3.6786555575358686</v>
      </c>
      <c r="S115" s="81"/>
      <c r="T115" s="81"/>
    </row>
    <row r="116" spans="1:27" x14ac:dyDescent="0.2">
      <c r="B116" s="15" t="s">
        <v>79</v>
      </c>
      <c r="Q116" s="19">
        <f>Q115/I115</f>
        <v>0.99035280260270131</v>
      </c>
      <c r="R116" s="19">
        <f>R115/J115</f>
        <v>1.0122384539986413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723" priority="563" operator="greaterThan">
      <formula>0.03</formula>
    </cfRule>
    <cfRule type="cellIs" dxfId="722" priority="564" stopIfTrue="1" operator="lessThan">
      <formula>-0.03</formula>
    </cfRule>
  </conditionalFormatting>
  <conditionalFormatting sqref="Z11">
    <cfRule type="cellIs" dxfId="721" priority="559" operator="greaterThan">
      <formula>0.03</formula>
    </cfRule>
    <cfRule type="cellIs" dxfId="720" priority="560" stopIfTrue="1" operator="lessThan">
      <formula>-0.03</formula>
    </cfRule>
  </conditionalFormatting>
  <conditionalFormatting sqref="Y6:Z6">
    <cfRule type="cellIs" dxfId="719" priority="549" operator="greaterThan">
      <formula>0.03</formula>
    </cfRule>
    <cfRule type="cellIs" dxfId="718" priority="550" stopIfTrue="1" operator="lessThan">
      <formula>-0.03</formula>
    </cfRule>
  </conditionalFormatting>
  <conditionalFormatting sqref="Y14:Z14">
    <cfRule type="cellIs" dxfId="717" priority="545" operator="greaterThan">
      <formula>0.03</formula>
    </cfRule>
    <cfRule type="cellIs" dxfId="716" priority="546" stopIfTrue="1" operator="lessThan">
      <formula>-0.03</formula>
    </cfRule>
  </conditionalFormatting>
  <conditionalFormatting sqref="V114:AA114">
    <cfRule type="cellIs" dxfId="715" priority="501" operator="greaterThan">
      <formula>0.03</formula>
    </cfRule>
    <cfRule type="cellIs" dxfId="714" priority="502" stopIfTrue="1" operator="lessThan">
      <formula>-0.03</formula>
    </cfRule>
  </conditionalFormatting>
  <conditionalFormatting sqref="Y23">
    <cfRule type="cellIs" dxfId="713" priority="463" operator="greaterThan">
      <formula>0.03</formula>
    </cfRule>
    <cfRule type="cellIs" dxfId="712" priority="464" stopIfTrue="1" operator="lessThan">
      <formula>-0.03</formula>
    </cfRule>
  </conditionalFormatting>
  <conditionalFormatting sqref="Z19">
    <cfRule type="cellIs" dxfId="711" priority="467" operator="greaterThan">
      <formula>0.03</formula>
    </cfRule>
    <cfRule type="cellIs" dxfId="710" priority="468" stopIfTrue="1" operator="lessThan">
      <formula>-0.03</formula>
    </cfRule>
  </conditionalFormatting>
  <conditionalFormatting sqref="AA19">
    <cfRule type="cellIs" dxfId="709" priority="465" operator="greaterThan">
      <formula>0.03</formula>
    </cfRule>
    <cfRule type="cellIs" dxfId="708" priority="466" stopIfTrue="1" operator="lessThan">
      <formula>-0.03</formula>
    </cfRule>
  </conditionalFormatting>
  <conditionalFormatting sqref="Z35">
    <cfRule type="cellIs" dxfId="707" priority="373" operator="greaterThan">
      <formula>0.03</formula>
    </cfRule>
    <cfRule type="cellIs" dxfId="706" priority="374" stopIfTrue="1" operator="lessThan">
      <formula>-0.03</formula>
    </cfRule>
  </conditionalFormatting>
  <conditionalFormatting sqref="Y31">
    <cfRule type="cellIs" dxfId="705" priority="381" operator="greaterThan">
      <formula>0.03</formula>
    </cfRule>
    <cfRule type="cellIs" dxfId="704" priority="382" stopIfTrue="1" operator="lessThan">
      <formula>-0.03</formula>
    </cfRule>
  </conditionalFormatting>
  <conditionalFormatting sqref="AA27">
    <cfRule type="cellIs" dxfId="703" priority="397" operator="greaterThan">
      <formula>0.03</formula>
    </cfRule>
    <cfRule type="cellIs" dxfId="702" priority="398" stopIfTrue="1" operator="lessThan">
      <formula>-0.03</formula>
    </cfRule>
  </conditionalFormatting>
  <conditionalFormatting sqref="Y30:Z30">
    <cfRule type="cellIs" dxfId="701" priority="395" operator="greaterThan">
      <formula>0.03</formula>
    </cfRule>
    <cfRule type="cellIs" dxfId="700" priority="396" stopIfTrue="1" operator="lessThan">
      <formula>-0.03</formula>
    </cfRule>
  </conditionalFormatting>
  <conditionalFormatting sqref="AA35">
    <cfRule type="cellIs" dxfId="699" priority="371" operator="greaterThan">
      <formula>0.03</formula>
    </cfRule>
    <cfRule type="cellIs" dxfId="698" priority="372" stopIfTrue="1" operator="lessThan">
      <formula>-0.03</formula>
    </cfRule>
  </conditionalFormatting>
  <conditionalFormatting sqref="Y34:Z34">
    <cfRule type="cellIs" dxfId="697" priority="369" operator="greaterThan">
      <formula>0.03</formula>
    </cfRule>
    <cfRule type="cellIs" dxfId="696" priority="370" stopIfTrue="1" operator="lessThan">
      <formula>-0.03</formula>
    </cfRule>
  </conditionalFormatting>
  <conditionalFormatting sqref="Y38:Z38">
    <cfRule type="cellIs" dxfId="695" priority="367" operator="greaterThan">
      <formula>0.03</formula>
    </cfRule>
    <cfRule type="cellIs" dxfId="694" priority="368" stopIfTrue="1" operator="lessThan">
      <formula>-0.03</formula>
    </cfRule>
  </conditionalFormatting>
  <conditionalFormatting sqref="V31:X38">
    <cfRule type="cellIs" dxfId="693" priority="383" operator="greaterThan">
      <formula>0.03</formula>
    </cfRule>
    <cfRule type="cellIs" dxfId="692" priority="384" stopIfTrue="1" operator="lessThan">
      <formula>-0.03</formula>
    </cfRule>
  </conditionalFormatting>
  <conditionalFormatting sqref="Z31">
    <cfRule type="cellIs" dxfId="691" priority="379" operator="greaterThan">
      <formula>0.03</formula>
    </cfRule>
    <cfRule type="cellIs" dxfId="690" priority="380" stopIfTrue="1" operator="lessThan">
      <formula>-0.03</formula>
    </cfRule>
  </conditionalFormatting>
  <conditionalFormatting sqref="AA31">
    <cfRule type="cellIs" dxfId="689" priority="377" operator="greaterThan">
      <formula>0.03</formula>
    </cfRule>
    <cfRule type="cellIs" dxfId="688" priority="378" stopIfTrue="1" operator="lessThan">
      <formula>-0.03</formula>
    </cfRule>
  </conditionalFormatting>
  <conditionalFormatting sqref="Y35">
    <cfRule type="cellIs" dxfId="687" priority="375" operator="greaterThan">
      <formula>0.03</formula>
    </cfRule>
    <cfRule type="cellIs" dxfId="686" priority="376" stopIfTrue="1" operator="lessThan">
      <formula>-0.03</formula>
    </cfRule>
  </conditionalFormatting>
  <conditionalFormatting sqref="V39:X43 V47">
    <cfRule type="cellIs" dxfId="685" priority="345" operator="greaterThan">
      <formula>0.03</formula>
    </cfRule>
    <cfRule type="cellIs" dxfId="684" priority="346" stopIfTrue="1" operator="lessThan">
      <formula>-0.03</formula>
    </cfRule>
  </conditionalFormatting>
  <conditionalFormatting sqref="Y39">
    <cfRule type="cellIs" dxfId="683" priority="343" operator="greaterThan">
      <formula>0.03</formula>
    </cfRule>
    <cfRule type="cellIs" dxfId="682" priority="344" stopIfTrue="1" operator="lessThan">
      <formula>-0.03</formula>
    </cfRule>
  </conditionalFormatting>
  <conditionalFormatting sqref="Z39">
    <cfRule type="cellIs" dxfId="681" priority="341" operator="greaterThan">
      <formula>0.03</formula>
    </cfRule>
    <cfRule type="cellIs" dxfId="680" priority="342" stopIfTrue="1" operator="lessThan">
      <formula>-0.03</formula>
    </cfRule>
  </conditionalFormatting>
  <conditionalFormatting sqref="AA39">
    <cfRule type="cellIs" dxfId="679" priority="339" operator="greaterThan">
      <formula>0.03</formula>
    </cfRule>
    <cfRule type="cellIs" dxfId="678" priority="340" stopIfTrue="1" operator="lessThan">
      <formula>-0.03</formula>
    </cfRule>
  </conditionalFormatting>
  <conditionalFormatting sqref="Y43">
    <cfRule type="cellIs" dxfId="677" priority="337" operator="greaterThan">
      <formula>0.03</formula>
    </cfRule>
    <cfRule type="cellIs" dxfId="676" priority="338" stopIfTrue="1" operator="lessThan">
      <formula>-0.03</formula>
    </cfRule>
  </conditionalFormatting>
  <conditionalFormatting sqref="Z43">
    <cfRule type="cellIs" dxfId="675" priority="335" operator="greaterThan">
      <formula>0.03</formula>
    </cfRule>
    <cfRule type="cellIs" dxfId="674" priority="336" stopIfTrue="1" operator="lessThan">
      <formula>-0.03</formula>
    </cfRule>
  </conditionalFormatting>
  <conditionalFormatting sqref="AA43">
    <cfRule type="cellIs" dxfId="673" priority="333" operator="greaterThan">
      <formula>0.03</formula>
    </cfRule>
    <cfRule type="cellIs" dxfId="672" priority="334" stopIfTrue="1" operator="lessThan">
      <formula>-0.03</formula>
    </cfRule>
  </conditionalFormatting>
  <conditionalFormatting sqref="Y42:Z42">
    <cfRule type="cellIs" dxfId="671" priority="331" operator="greaterThan">
      <formula>0.03</formula>
    </cfRule>
    <cfRule type="cellIs" dxfId="670" priority="332" stopIfTrue="1" operator="lessThan">
      <formula>-0.03</formula>
    </cfRule>
  </conditionalFormatting>
  <conditionalFormatting sqref="Y46:Z46">
    <cfRule type="cellIs" dxfId="669" priority="329" operator="greaterThan">
      <formula>0.03</formula>
    </cfRule>
    <cfRule type="cellIs" dxfId="668" priority="330" stopIfTrue="1" operator="lessThan">
      <formula>-0.03</formula>
    </cfRule>
  </conditionalFormatting>
  <conditionalFormatting sqref="W47 V48:X50 V52:X62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Y47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Z47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AA47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51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Z51">
    <cfRule type="cellIs" dxfId="657" priority="297" operator="greaterThan">
      <formula>0.03</formula>
    </cfRule>
    <cfRule type="cellIs" dxfId="656" priority="298" stopIfTrue="1" operator="lessThan">
      <formula>-0.03</formula>
    </cfRule>
  </conditionalFormatting>
  <conditionalFormatting sqref="AA51">
    <cfRule type="cellIs" dxfId="655" priority="295" operator="greaterThan">
      <formula>0.03</formula>
    </cfRule>
    <cfRule type="cellIs" dxfId="654" priority="296" stopIfTrue="1" operator="lessThan">
      <formula>-0.03</formula>
    </cfRule>
  </conditionalFormatting>
  <conditionalFormatting sqref="Y55">
    <cfRule type="cellIs" dxfId="653" priority="293" operator="greaterThan">
      <formula>0.03</formula>
    </cfRule>
    <cfRule type="cellIs" dxfId="652" priority="294" stopIfTrue="1" operator="lessThan">
      <formula>-0.03</formula>
    </cfRule>
  </conditionalFormatting>
  <conditionalFormatting sqref="Z55">
    <cfRule type="cellIs" dxfId="651" priority="291" operator="greaterThan">
      <formula>0.03</formula>
    </cfRule>
    <cfRule type="cellIs" dxfId="650" priority="292" stopIfTrue="1" operator="lessThan">
      <formula>-0.03</formula>
    </cfRule>
  </conditionalFormatting>
  <conditionalFormatting sqref="AA55">
    <cfRule type="cellIs" dxfId="649" priority="289" operator="greaterThan">
      <formula>0.03</formula>
    </cfRule>
    <cfRule type="cellIs" dxfId="648" priority="290" stopIfTrue="1" operator="lessThan">
      <formula>-0.03</formula>
    </cfRule>
  </conditionalFormatting>
  <conditionalFormatting sqref="Y59">
    <cfRule type="cellIs" dxfId="647" priority="287" operator="greaterThan">
      <formula>0.03</formula>
    </cfRule>
    <cfRule type="cellIs" dxfId="646" priority="288" stopIfTrue="1" operator="lessThan">
      <formula>-0.03</formula>
    </cfRule>
  </conditionalFormatting>
  <conditionalFormatting sqref="Z59">
    <cfRule type="cellIs" dxfId="645" priority="285" operator="greaterThan">
      <formula>0.03</formula>
    </cfRule>
    <cfRule type="cellIs" dxfId="644" priority="286" stopIfTrue="1" operator="lessThan">
      <formula>-0.03</formula>
    </cfRule>
  </conditionalFormatting>
  <conditionalFormatting sqref="AA59">
    <cfRule type="cellIs" dxfId="643" priority="283" operator="greaterThan">
      <formula>0.03</formula>
    </cfRule>
    <cfRule type="cellIs" dxfId="642" priority="284" stopIfTrue="1" operator="lessThan">
      <formula>-0.03</formula>
    </cfRule>
  </conditionalFormatting>
  <conditionalFormatting sqref="Y50:Z50">
    <cfRule type="cellIs" dxfId="641" priority="281" operator="greaterThan">
      <formula>0.03</formula>
    </cfRule>
    <cfRule type="cellIs" dxfId="640" priority="282" stopIfTrue="1" operator="lessThan">
      <formula>-0.03</formula>
    </cfRule>
  </conditionalFormatting>
  <conditionalFormatting sqref="Y54:Z54">
    <cfRule type="cellIs" dxfId="639" priority="279" operator="greaterThan">
      <formula>0.03</formula>
    </cfRule>
    <cfRule type="cellIs" dxfId="638" priority="280" stopIfTrue="1" operator="lessThan">
      <formula>-0.03</formula>
    </cfRule>
  </conditionalFormatting>
  <conditionalFormatting sqref="Y58:Z58">
    <cfRule type="cellIs" dxfId="637" priority="277" operator="greaterThan">
      <formula>0.03</formula>
    </cfRule>
    <cfRule type="cellIs" dxfId="636" priority="278" stopIfTrue="1" operator="lessThan">
      <formula>-0.03</formula>
    </cfRule>
  </conditionalFormatting>
  <conditionalFormatting sqref="Y62:Z62">
    <cfRule type="cellIs" dxfId="635" priority="275" operator="greaterThan">
      <formula>0.03</formula>
    </cfRule>
    <cfRule type="cellIs" dxfId="634" priority="276" stopIfTrue="1" operator="lessThan">
      <formula>-0.03</formula>
    </cfRule>
  </conditionalFormatting>
  <conditionalFormatting sqref="V63:X78">
    <cfRule type="cellIs" dxfId="633" priority="233" operator="greaterThan">
      <formula>0.03</formula>
    </cfRule>
    <cfRule type="cellIs" dxfId="632" priority="234" stopIfTrue="1" operator="lessThan">
      <formula>-0.03</formula>
    </cfRule>
  </conditionalFormatting>
  <conditionalFormatting sqref="Y63">
    <cfRule type="cellIs" dxfId="631" priority="231" operator="greaterThan">
      <formula>0.03</formula>
    </cfRule>
    <cfRule type="cellIs" dxfId="630" priority="232" stopIfTrue="1" operator="lessThan">
      <formula>-0.03</formula>
    </cfRule>
  </conditionalFormatting>
  <conditionalFormatting sqref="Z63">
    <cfRule type="cellIs" dxfId="629" priority="229" operator="greaterThan">
      <formula>0.03</formula>
    </cfRule>
    <cfRule type="cellIs" dxfId="628" priority="230" stopIfTrue="1" operator="lessThan">
      <formula>-0.03</formula>
    </cfRule>
  </conditionalFormatting>
  <conditionalFormatting sqref="AA63">
    <cfRule type="cellIs" dxfId="627" priority="227" operator="greaterThan">
      <formula>0.03</formula>
    </cfRule>
    <cfRule type="cellIs" dxfId="626" priority="228" stopIfTrue="1" operator="lessThan">
      <formula>-0.03</formula>
    </cfRule>
  </conditionalFormatting>
  <conditionalFormatting sqref="Z67">
    <cfRule type="cellIs" dxfId="625" priority="223" operator="greaterThan">
      <formula>0.03</formula>
    </cfRule>
    <cfRule type="cellIs" dxfId="624" priority="224" stopIfTrue="1" operator="lessThan">
      <formula>-0.03</formula>
    </cfRule>
  </conditionalFormatting>
  <conditionalFormatting sqref="AA67">
    <cfRule type="cellIs" dxfId="623" priority="221" operator="greaterThan">
      <formula>0.03</formula>
    </cfRule>
    <cfRule type="cellIs" dxfId="622" priority="222" stopIfTrue="1" operator="lessThan">
      <formula>-0.03</formula>
    </cfRule>
  </conditionalFormatting>
  <conditionalFormatting sqref="Y71">
    <cfRule type="cellIs" dxfId="621" priority="219" operator="greaterThan">
      <formula>0.03</formula>
    </cfRule>
    <cfRule type="cellIs" dxfId="620" priority="220" stopIfTrue="1" operator="lessThan">
      <formula>-0.03</formula>
    </cfRule>
  </conditionalFormatting>
  <conditionalFormatting sqref="Z71">
    <cfRule type="cellIs" dxfId="619" priority="217" operator="greaterThan">
      <formula>0.03</formula>
    </cfRule>
    <cfRule type="cellIs" dxfId="618" priority="218" stopIfTrue="1" operator="lessThan">
      <formula>-0.03</formula>
    </cfRule>
  </conditionalFormatting>
  <conditionalFormatting sqref="Y67">
    <cfRule type="cellIs" dxfId="617" priority="225" operator="greaterThan">
      <formula>0.03</formula>
    </cfRule>
    <cfRule type="cellIs" dxfId="616" priority="226" stopIfTrue="1" operator="lessThan">
      <formula>-0.03</formula>
    </cfRule>
  </conditionalFormatting>
  <conditionalFormatting sqref="Y75">
    <cfRule type="cellIs" dxfId="615" priority="213" operator="greaterThan">
      <formula>0.03</formula>
    </cfRule>
    <cfRule type="cellIs" dxfId="614" priority="214" stopIfTrue="1" operator="lessThan">
      <formula>-0.03</formula>
    </cfRule>
  </conditionalFormatting>
  <conditionalFormatting sqref="Z75">
    <cfRule type="cellIs" dxfId="613" priority="211" operator="greaterThan">
      <formula>0.03</formula>
    </cfRule>
    <cfRule type="cellIs" dxfId="612" priority="212" stopIfTrue="1" operator="lessThan">
      <formula>-0.03</formula>
    </cfRule>
  </conditionalFormatting>
  <conditionalFormatting sqref="AA75">
    <cfRule type="cellIs" dxfId="611" priority="209" operator="greaterThan">
      <formula>0.03</formula>
    </cfRule>
    <cfRule type="cellIs" dxfId="610" priority="210" stopIfTrue="1" operator="lessThan">
      <formula>-0.03</formula>
    </cfRule>
  </conditionalFormatting>
  <conditionalFormatting sqref="Y66:Z66">
    <cfRule type="cellIs" dxfId="609" priority="207" operator="greaterThan">
      <formula>0.03</formula>
    </cfRule>
    <cfRule type="cellIs" dxfId="608" priority="208" stopIfTrue="1" operator="lessThan">
      <formula>-0.03</formula>
    </cfRule>
  </conditionalFormatting>
  <conditionalFormatting sqref="AA71">
    <cfRule type="cellIs" dxfId="607" priority="215" operator="greaterThan">
      <formula>0.03</formula>
    </cfRule>
    <cfRule type="cellIs" dxfId="606" priority="216" stopIfTrue="1" operator="lessThan">
      <formula>-0.03</formula>
    </cfRule>
  </conditionalFormatting>
  <conditionalFormatting sqref="Y70:Z70">
    <cfRule type="cellIs" dxfId="605" priority="205" operator="greaterThan">
      <formula>0.03</formula>
    </cfRule>
    <cfRule type="cellIs" dxfId="604" priority="206" stopIfTrue="1" operator="lessThan">
      <formula>-0.03</formula>
    </cfRule>
  </conditionalFormatting>
  <conditionalFormatting sqref="Y74:Z74">
    <cfRule type="cellIs" dxfId="603" priority="203" operator="greaterThan">
      <formula>0.03</formula>
    </cfRule>
    <cfRule type="cellIs" dxfId="602" priority="204" stopIfTrue="1" operator="lessThan">
      <formula>-0.03</formula>
    </cfRule>
  </conditionalFormatting>
  <conditionalFormatting sqref="Y78:Z78">
    <cfRule type="cellIs" dxfId="601" priority="201" operator="greaterThan">
      <formula>0.03</formula>
    </cfRule>
    <cfRule type="cellIs" dxfId="600" priority="202" stopIfTrue="1" operator="lessThan">
      <formula>-0.03</formula>
    </cfRule>
  </conditionalFormatting>
  <conditionalFormatting sqref="V3:X14">
    <cfRule type="cellIs" dxfId="599" priority="575" operator="greaterThan">
      <formula>0.03</formula>
    </cfRule>
    <cfRule type="cellIs" dxfId="598" priority="576" stopIfTrue="1" operator="lessThan">
      <formula>-0.03</formula>
    </cfRule>
  </conditionalFormatting>
  <conditionalFormatting sqref="Y3">
    <cfRule type="cellIs" dxfId="597" priority="573" operator="greaterThan">
      <formula>0.03</formula>
    </cfRule>
    <cfRule type="cellIs" dxfId="596" priority="574" stopIfTrue="1" operator="lessThan">
      <formula>-0.03</formula>
    </cfRule>
  </conditionalFormatting>
  <conditionalFormatting sqref="Z3">
    <cfRule type="cellIs" dxfId="595" priority="571" operator="greaterThan">
      <formula>0.03</formula>
    </cfRule>
    <cfRule type="cellIs" dxfId="594" priority="572" stopIfTrue="1" operator="lessThan">
      <formula>-0.03</formula>
    </cfRule>
  </conditionalFormatting>
  <conditionalFormatting sqref="AA3">
    <cfRule type="cellIs" dxfId="593" priority="569" operator="greaterThan">
      <formula>0.03</formula>
    </cfRule>
    <cfRule type="cellIs" dxfId="592" priority="570" stopIfTrue="1" operator="lessThan">
      <formula>-0.03</formula>
    </cfRule>
  </conditionalFormatting>
  <conditionalFormatting sqref="Y7">
    <cfRule type="cellIs" dxfId="591" priority="567" operator="greaterThan">
      <formula>0.03</formula>
    </cfRule>
    <cfRule type="cellIs" dxfId="590" priority="568" stopIfTrue="1" operator="lessThan">
      <formula>-0.03</formula>
    </cfRule>
  </conditionalFormatting>
  <conditionalFormatting sqref="Z7">
    <cfRule type="cellIs" dxfId="589" priority="565" operator="greaterThan">
      <formula>0.03</formula>
    </cfRule>
    <cfRule type="cellIs" dxfId="588" priority="566" stopIfTrue="1" operator="lessThan">
      <formula>-0.03</formula>
    </cfRule>
  </conditionalFormatting>
  <conditionalFormatting sqref="Y11">
    <cfRule type="cellIs" dxfId="587" priority="561" operator="greaterThan">
      <formula>0.03</formula>
    </cfRule>
    <cfRule type="cellIs" dxfId="586" priority="562" stopIfTrue="1" operator="lessThan">
      <formula>-0.03</formula>
    </cfRule>
  </conditionalFormatting>
  <conditionalFormatting sqref="AA11">
    <cfRule type="cellIs" dxfId="585" priority="557" operator="greaterThan">
      <formula>0.03</formula>
    </cfRule>
    <cfRule type="cellIs" dxfId="584" priority="558" stopIfTrue="1" operator="lessThan">
      <formula>-0.03</formula>
    </cfRule>
  </conditionalFormatting>
  <conditionalFormatting sqref="Y10:Z10">
    <cfRule type="cellIs" dxfId="583" priority="547" operator="greaterThan">
      <formula>0.03</formula>
    </cfRule>
    <cfRule type="cellIs" dxfId="582" priority="548" stopIfTrue="1" operator="lessThan">
      <formula>-0.03</formula>
    </cfRule>
  </conditionalFormatting>
  <conditionalFormatting sqref="V111:AA112">
    <cfRule type="cellIs" dxfId="581" priority="499" operator="greaterThan">
      <formula>0.03</formula>
    </cfRule>
    <cfRule type="cellIs" dxfId="580" priority="500" stopIfTrue="1" operator="lessThan">
      <formula>-0.03</formula>
    </cfRule>
  </conditionalFormatting>
  <conditionalFormatting sqref="V107:AA107 V109:AA109">
    <cfRule type="cellIs" dxfId="579" priority="497" operator="greaterThan">
      <formula>0.03</formula>
    </cfRule>
    <cfRule type="cellIs" dxfId="578" priority="498" stopIfTrue="1" operator="lessThan">
      <formula>-0.03</formula>
    </cfRule>
  </conditionalFormatting>
  <conditionalFormatting sqref="Y19">
    <cfRule type="cellIs" dxfId="577" priority="469" operator="greaterThan">
      <formula>0.03</formula>
    </cfRule>
    <cfRule type="cellIs" dxfId="576" priority="470" stopIfTrue="1" operator="lessThan">
      <formula>-0.03</formula>
    </cfRule>
  </conditionalFormatting>
  <conditionalFormatting sqref="V108:AA108">
    <cfRule type="cellIs" dxfId="575" priority="491" operator="greaterThan">
      <formula>0.03</formula>
    </cfRule>
    <cfRule type="cellIs" dxfId="574" priority="492" stopIfTrue="1" operator="lessThan">
      <formula>-0.03</formula>
    </cfRule>
  </conditionalFormatting>
  <conditionalFormatting sqref="V15:X26">
    <cfRule type="cellIs" dxfId="573" priority="477" operator="greaterThan">
      <formula>0.03</formula>
    </cfRule>
    <cfRule type="cellIs" dxfId="572" priority="478" stopIfTrue="1" operator="lessThan">
      <formula>-0.03</formula>
    </cfRule>
  </conditionalFormatting>
  <conditionalFormatting sqref="Y15">
    <cfRule type="cellIs" dxfId="571" priority="475" operator="greaterThan">
      <formula>0.03</formula>
    </cfRule>
    <cfRule type="cellIs" dxfId="570" priority="476" stopIfTrue="1" operator="lessThan">
      <formula>-0.03</formula>
    </cfRule>
  </conditionalFormatting>
  <conditionalFormatting sqref="V110:AA110">
    <cfRule type="cellIs" dxfId="569" priority="495" operator="greaterThan">
      <formula>0.03</formula>
    </cfRule>
    <cfRule type="cellIs" dxfId="568" priority="496" stopIfTrue="1" operator="lessThan">
      <formula>-0.03</formula>
    </cfRule>
  </conditionalFormatting>
  <conditionalFormatting sqref="V113:AA113">
    <cfRule type="cellIs" dxfId="567" priority="493" operator="greaterThan">
      <formula>0.03</formula>
    </cfRule>
    <cfRule type="cellIs" dxfId="566" priority="494" stopIfTrue="1" operator="lessThan">
      <formula>-0.03</formula>
    </cfRule>
  </conditionalFormatting>
  <conditionalFormatting sqref="Z15">
    <cfRule type="cellIs" dxfId="565" priority="473" operator="greaterThan">
      <formula>0.03</formula>
    </cfRule>
    <cfRule type="cellIs" dxfId="564" priority="474" stopIfTrue="1" operator="lessThan">
      <formula>-0.03</formula>
    </cfRule>
  </conditionalFormatting>
  <conditionalFormatting sqref="AA15">
    <cfRule type="cellIs" dxfId="563" priority="471" operator="greaterThan">
      <formula>0.03</formula>
    </cfRule>
    <cfRule type="cellIs" dxfId="562" priority="472" stopIfTrue="1" operator="lessThan">
      <formula>-0.03</formula>
    </cfRule>
  </conditionalFormatting>
  <conditionalFormatting sqref="Z23">
    <cfRule type="cellIs" dxfId="561" priority="461" operator="greaterThan">
      <formula>0.03</formula>
    </cfRule>
    <cfRule type="cellIs" dxfId="560" priority="462" stopIfTrue="1" operator="lessThan">
      <formula>-0.03</formula>
    </cfRule>
  </conditionalFormatting>
  <conditionalFormatting sqref="AA23">
    <cfRule type="cellIs" dxfId="559" priority="459" operator="greaterThan">
      <formula>0.03</formula>
    </cfRule>
    <cfRule type="cellIs" dxfId="558" priority="460" stopIfTrue="1" operator="lessThan">
      <formula>-0.03</formula>
    </cfRule>
  </conditionalFormatting>
  <conditionalFormatting sqref="Y18:Z18">
    <cfRule type="cellIs" dxfId="557" priority="451" operator="greaterThan">
      <formula>0.03</formula>
    </cfRule>
    <cfRule type="cellIs" dxfId="556" priority="452" stopIfTrue="1" operator="lessThan">
      <formula>-0.03</formula>
    </cfRule>
  </conditionalFormatting>
  <conditionalFormatting sqref="Y22:Z22">
    <cfRule type="cellIs" dxfId="555" priority="449" operator="greaterThan">
      <formula>0.03</formula>
    </cfRule>
    <cfRule type="cellIs" dxfId="554" priority="450" stopIfTrue="1" operator="lessThan">
      <formula>-0.03</formula>
    </cfRule>
  </conditionalFormatting>
  <conditionalFormatting sqref="Y26:Z26">
    <cfRule type="cellIs" dxfId="553" priority="447" operator="greaterThan">
      <formula>0.03</formula>
    </cfRule>
    <cfRule type="cellIs" dxfId="552" priority="448" stopIfTrue="1" operator="lessThan">
      <formula>-0.03</formula>
    </cfRule>
  </conditionalFormatting>
  <conditionalFormatting sqref="V27:X30">
    <cfRule type="cellIs" dxfId="551" priority="403" operator="greaterThan">
      <formula>0.03</formula>
    </cfRule>
    <cfRule type="cellIs" dxfId="550" priority="404" stopIfTrue="1" operator="lessThan">
      <formula>-0.03</formula>
    </cfRule>
  </conditionalFormatting>
  <conditionalFormatting sqref="Y27">
    <cfRule type="cellIs" dxfId="549" priority="401" operator="greaterThan">
      <formula>0.03</formula>
    </cfRule>
    <cfRule type="cellIs" dxfId="548" priority="402" stopIfTrue="1" operator="lessThan">
      <formula>-0.03</formula>
    </cfRule>
  </conditionalFormatting>
  <conditionalFormatting sqref="Z27">
    <cfRule type="cellIs" dxfId="547" priority="399" operator="greaterThan">
      <formula>0.03</formula>
    </cfRule>
    <cfRule type="cellIs" dxfId="546" priority="400" stopIfTrue="1" operator="lessThan">
      <formula>-0.03</formula>
    </cfRule>
  </conditionalFormatting>
  <conditionalFormatting sqref="Y102:Z102">
    <cfRule type="cellIs" dxfId="545" priority="129" operator="greaterThan">
      <formula>0.03</formula>
    </cfRule>
    <cfRule type="cellIs" dxfId="544" priority="130" stopIfTrue="1" operator="lessThan">
      <formula>-0.03</formula>
    </cfRule>
  </conditionalFormatting>
  <conditionalFormatting sqref="Y98:Z98">
    <cfRule type="cellIs" dxfId="543" priority="131" operator="greaterThan">
      <formula>0.03</formula>
    </cfRule>
    <cfRule type="cellIs" dxfId="542" priority="132" stopIfTrue="1" operator="lessThan">
      <formula>-0.03</formula>
    </cfRule>
  </conditionalFormatting>
  <conditionalFormatting sqref="Y106:Z106">
    <cfRule type="cellIs" dxfId="541" priority="127" operator="greaterThan">
      <formula>0.03</formula>
    </cfRule>
    <cfRule type="cellIs" dxfId="540" priority="128" stopIfTrue="1" operator="lessThan">
      <formula>-0.03</formula>
    </cfRule>
  </conditionalFormatting>
  <conditionalFormatting sqref="Z83">
    <cfRule type="cellIs" dxfId="539" priority="75" operator="greaterThan">
      <formula>0.03</formula>
    </cfRule>
    <cfRule type="cellIs" dxfId="538" priority="76" stopIfTrue="1" operator="lessThan">
      <formula>-0.03</formula>
    </cfRule>
  </conditionalFormatting>
  <conditionalFormatting sqref="Z87">
    <cfRule type="cellIs" dxfId="537" priority="69" operator="greaterThan">
      <formula>0.03</formula>
    </cfRule>
    <cfRule type="cellIs" dxfId="536" priority="70" stopIfTrue="1" operator="lessThan">
      <formula>-0.03</formula>
    </cfRule>
  </conditionalFormatting>
  <conditionalFormatting sqref="Y83">
    <cfRule type="cellIs" dxfId="535" priority="77" operator="greaterThan">
      <formula>0.03</formula>
    </cfRule>
    <cfRule type="cellIs" dxfId="534" priority="78" stopIfTrue="1" operator="lessThan">
      <formula>-0.03</formula>
    </cfRule>
  </conditionalFormatting>
  <conditionalFormatting sqref="V79:X90">
    <cfRule type="cellIs" dxfId="533" priority="85" operator="greaterThan">
      <formula>0.03</formula>
    </cfRule>
    <cfRule type="cellIs" dxfId="532" priority="86" stopIfTrue="1" operator="lessThan">
      <formula>-0.03</formula>
    </cfRule>
  </conditionalFormatting>
  <conditionalFormatting sqref="AA79">
    <cfRule type="cellIs" dxfId="531" priority="79" operator="greaterThan">
      <formula>0.03</formula>
    </cfRule>
    <cfRule type="cellIs" dxfId="530" priority="80" stopIfTrue="1" operator="lessThan">
      <formula>-0.03</formula>
    </cfRule>
  </conditionalFormatting>
  <conditionalFormatting sqref="Y87">
    <cfRule type="cellIs" dxfId="529" priority="71" operator="greaterThan">
      <formula>0.03</formula>
    </cfRule>
    <cfRule type="cellIs" dxfId="528" priority="72" stopIfTrue="1" operator="lessThan">
      <formula>-0.03</formula>
    </cfRule>
  </conditionalFormatting>
  <conditionalFormatting sqref="AA87">
    <cfRule type="cellIs" dxfId="527" priority="67" operator="greaterThan">
      <formula>0.03</formula>
    </cfRule>
    <cfRule type="cellIs" dxfId="526" priority="68" stopIfTrue="1" operator="lessThan">
      <formula>-0.03</formula>
    </cfRule>
  </conditionalFormatting>
  <conditionalFormatting sqref="Y82:Z82">
    <cfRule type="cellIs" dxfId="525" priority="65" operator="greaterThan">
      <formula>0.03</formula>
    </cfRule>
    <cfRule type="cellIs" dxfId="524" priority="66" stopIfTrue="1" operator="lessThan">
      <formula>-0.03</formula>
    </cfRule>
  </conditionalFormatting>
  <conditionalFormatting sqref="Y86:Z86">
    <cfRule type="cellIs" dxfId="523" priority="63" operator="greaterThan">
      <formula>0.03</formula>
    </cfRule>
    <cfRule type="cellIs" dxfId="522" priority="64" stopIfTrue="1" operator="lessThan">
      <formula>-0.03</formula>
    </cfRule>
  </conditionalFormatting>
  <conditionalFormatting sqref="Y79">
    <cfRule type="cellIs" dxfId="521" priority="83" operator="greaterThan">
      <formula>0.03</formula>
    </cfRule>
    <cfRule type="cellIs" dxfId="520" priority="84" stopIfTrue="1" operator="lessThan">
      <formula>-0.03</formula>
    </cfRule>
  </conditionalFormatting>
  <conditionalFormatting sqref="Z79">
    <cfRule type="cellIs" dxfId="519" priority="81" operator="greaterThan">
      <formula>0.03</formula>
    </cfRule>
    <cfRule type="cellIs" dxfId="518" priority="82" stopIfTrue="1" operator="lessThan">
      <formula>-0.03</formula>
    </cfRule>
  </conditionalFormatting>
  <conditionalFormatting sqref="AA83">
    <cfRule type="cellIs" dxfId="517" priority="73" operator="greaterThan">
      <formula>0.03</formula>
    </cfRule>
    <cfRule type="cellIs" dxfId="516" priority="74" stopIfTrue="1" operator="lessThan">
      <formula>-0.03</formula>
    </cfRule>
  </conditionalFormatting>
  <conditionalFormatting sqref="Y90:Z90">
    <cfRule type="cellIs" dxfId="515" priority="61" operator="greaterThan">
      <formula>0.03</formula>
    </cfRule>
    <cfRule type="cellIs" dxfId="514" priority="62" stopIfTrue="1" operator="lessThan">
      <formula>-0.03</formula>
    </cfRule>
  </conditionalFormatting>
  <conditionalFormatting sqref="Y94:Z94">
    <cfRule type="cellIs" dxfId="513" priority="133" operator="greaterThan">
      <formula>0.03</formula>
    </cfRule>
    <cfRule type="cellIs" dxfId="512" priority="134" stopIfTrue="1" operator="lessThan">
      <formula>-0.03</formula>
    </cfRule>
  </conditionalFormatting>
  <conditionalFormatting sqref="Z103">
    <cfRule type="cellIs" dxfId="511" priority="137" operator="greaterThan">
      <formula>0.03</formula>
    </cfRule>
    <cfRule type="cellIs" dxfId="510" priority="138" stopIfTrue="1" operator="lessThan">
      <formula>-0.03</formula>
    </cfRule>
  </conditionalFormatting>
  <conditionalFormatting sqref="Y103">
    <cfRule type="cellIs" dxfId="509" priority="139" operator="greaterThan">
      <formula>0.03</formula>
    </cfRule>
    <cfRule type="cellIs" dxfId="508" priority="140" stopIfTrue="1" operator="lessThan">
      <formula>-0.03</formula>
    </cfRule>
  </conditionalFormatting>
  <conditionalFormatting sqref="AA103">
    <cfRule type="cellIs" dxfId="507" priority="135" operator="greaterThan">
      <formula>0.03</formula>
    </cfRule>
    <cfRule type="cellIs" dxfId="506" priority="136" stopIfTrue="1" operator="lessThan">
      <formula>-0.03</formula>
    </cfRule>
  </conditionalFormatting>
  <conditionalFormatting sqref="Y99">
    <cfRule type="cellIs" dxfId="505" priority="145" operator="greaterThan">
      <formula>0.03</formula>
    </cfRule>
    <cfRule type="cellIs" dxfId="504" priority="146" stopIfTrue="1" operator="lessThan">
      <formula>-0.03</formula>
    </cfRule>
  </conditionalFormatting>
  <conditionalFormatting sqref="V91:X106">
    <cfRule type="cellIs" dxfId="503" priority="159" operator="greaterThan">
      <formula>0.03</formula>
    </cfRule>
    <cfRule type="cellIs" dxfId="502" priority="160" stopIfTrue="1" operator="lessThan">
      <formula>-0.03</formula>
    </cfRule>
  </conditionalFormatting>
  <conditionalFormatting sqref="Y91">
    <cfRule type="cellIs" dxfId="501" priority="157" operator="greaterThan">
      <formula>0.03</formula>
    </cfRule>
    <cfRule type="cellIs" dxfId="500" priority="158" stopIfTrue="1" operator="lessThan">
      <formula>-0.03</formula>
    </cfRule>
  </conditionalFormatting>
  <conditionalFormatting sqref="Z91">
    <cfRule type="cellIs" dxfId="499" priority="155" operator="greaterThan">
      <formula>0.03</formula>
    </cfRule>
    <cfRule type="cellIs" dxfId="498" priority="156" stopIfTrue="1" operator="lessThan">
      <formula>-0.03</formula>
    </cfRule>
  </conditionalFormatting>
  <conditionalFormatting sqref="AA91">
    <cfRule type="cellIs" dxfId="497" priority="153" operator="greaterThan">
      <formula>0.03</formula>
    </cfRule>
    <cfRule type="cellIs" dxfId="496" priority="154" stopIfTrue="1" operator="lessThan">
      <formula>-0.03</formula>
    </cfRule>
  </conditionalFormatting>
  <conditionalFormatting sqref="Y95">
    <cfRule type="cellIs" dxfId="495" priority="151" operator="greaterThan">
      <formula>0.03</formula>
    </cfRule>
    <cfRule type="cellIs" dxfId="494" priority="152" stopIfTrue="1" operator="lessThan">
      <formula>-0.03</formula>
    </cfRule>
  </conditionalFormatting>
  <conditionalFormatting sqref="Z95">
    <cfRule type="cellIs" dxfId="493" priority="149" operator="greaterThan">
      <formula>0.03</formula>
    </cfRule>
    <cfRule type="cellIs" dxfId="492" priority="150" stopIfTrue="1" operator="lessThan">
      <formula>-0.03</formula>
    </cfRule>
  </conditionalFormatting>
  <conditionalFormatting sqref="AA95">
    <cfRule type="cellIs" dxfId="491" priority="147" operator="greaterThan">
      <formula>0.03</formula>
    </cfRule>
    <cfRule type="cellIs" dxfId="490" priority="148" stopIfTrue="1" operator="lessThan">
      <formula>-0.03</formula>
    </cfRule>
  </conditionalFormatting>
  <conditionalFormatting sqref="Z99">
    <cfRule type="cellIs" dxfId="489" priority="143" operator="greaterThan">
      <formula>0.03</formula>
    </cfRule>
    <cfRule type="cellIs" dxfId="488" priority="144" stopIfTrue="1" operator="lessThan">
      <formula>-0.03</formula>
    </cfRule>
  </conditionalFormatting>
  <conditionalFormatting sqref="AA99">
    <cfRule type="cellIs" dxfId="487" priority="141" operator="greaterThan">
      <formula>0.03</formula>
    </cfRule>
    <cfRule type="cellIs" dxfId="486" priority="142" stopIfTrue="1" operator="lessThan">
      <formula>-0.03</formula>
    </cfRule>
  </conditionalFormatting>
  <conditionalFormatting sqref="V44:X46">
    <cfRule type="cellIs" dxfId="485" priority="29" operator="greaterThan">
      <formula>0.03</formula>
    </cfRule>
    <cfRule type="cellIs" dxfId="484" priority="30" stopIfTrue="1" operator="lessThan">
      <formula>-0.03</formula>
    </cfRule>
  </conditionalFormatting>
  <conditionalFormatting sqref="U51">
    <cfRule type="cellIs" dxfId="483" priority="1" operator="greaterThan">
      <formula>0.03</formula>
    </cfRule>
    <cfRule type="cellIs" dxfId="482" priority="2" stopIfTrue="1" operator="lessThan">
      <formula>-0.03</formula>
    </cfRule>
  </conditionalFormatting>
  <conditionalFormatting sqref="X47">
    <cfRule type="cellIs" dxfId="481" priority="27" operator="greaterThan">
      <formula>0.03</formula>
    </cfRule>
    <cfRule type="cellIs" dxfId="480" priority="28" stopIfTrue="1" operator="lessThan">
      <formula>-0.03</formula>
    </cfRule>
  </conditionalFormatting>
  <conditionalFormatting sqref="W51">
    <cfRule type="cellIs" dxfId="479" priority="5" operator="greaterThan">
      <formula>0.03</formula>
    </cfRule>
    <cfRule type="cellIs" dxfId="478" priority="6" stopIfTrue="1" operator="lessThan">
      <formula>-0.03</formula>
    </cfRule>
  </conditionalFormatting>
  <conditionalFormatting sqref="X51">
    <cfRule type="cellIs" dxfId="477" priority="3" operator="greaterThan">
      <formula>0.03</formula>
    </cfRule>
    <cfRule type="cellIs" dxfId="476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117"/>
  <sheetViews>
    <sheetView topLeftCell="A44" workbookViewId="0">
      <selection activeCell="L96" sqref="L96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33" t="s">
        <v>59</v>
      </c>
      <c r="E1" s="134"/>
      <c r="F1" s="134"/>
      <c r="G1" s="134"/>
      <c r="H1" s="134"/>
      <c r="I1" s="134"/>
      <c r="J1" s="135"/>
      <c r="L1" s="133" t="s">
        <v>60</v>
      </c>
      <c r="M1" s="134"/>
      <c r="N1" s="134"/>
      <c r="O1" s="134"/>
      <c r="P1" s="134"/>
      <c r="Q1" s="134"/>
      <c r="R1" s="135"/>
      <c r="S1" s="27"/>
      <c r="T1" s="27"/>
      <c r="U1" s="5"/>
      <c r="V1" s="133" t="s">
        <v>61</v>
      </c>
      <c r="W1" s="134"/>
      <c r="X1" s="135"/>
      <c r="Y1" s="133" t="s">
        <v>62</v>
      </c>
      <c r="Z1" s="134"/>
      <c r="AA1" s="135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69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69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Reference!B233</f>
        <v>0</v>
      </c>
      <c r="E27" s="10">
        <f>Reference!C233</f>
        <v>0</v>
      </c>
      <c r="F27" s="10">
        <f>Reference!D233</f>
        <v>0</v>
      </c>
      <c r="G27" s="10">
        <f>Reference!E233</f>
        <v>0</v>
      </c>
      <c r="H27" s="10">
        <f>Reference!F233</f>
        <v>0</v>
      </c>
      <c r="I27" s="10">
        <f>Reference!G233</f>
        <v>0</v>
      </c>
      <c r="J27" s="11">
        <f t="shared" ref="J27:J58" si="0">H27/3600</f>
        <v>0</v>
      </c>
      <c r="L27" s="9">
        <f>Test!B233</f>
        <v>0</v>
      </c>
      <c r="M27" s="10">
        <f>Test!C233</f>
        <v>0</v>
      </c>
      <c r="N27" s="10">
        <f>Test!D233</f>
        <v>0</v>
      </c>
      <c r="O27" s="10">
        <f>Test!E233</f>
        <v>0</v>
      </c>
      <c r="P27" s="10">
        <f>Test!F233</f>
        <v>0</v>
      </c>
      <c r="Q27" s="10">
        <f>Test!G233</f>
        <v>0</v>
      </c>
      <c r="R27" s="11">
        <f t="shared" ref="R27:R58" si="1">P27/3600</f>
        <v>0</v>
      </c>
      <c r="S27" s="10" t="e">
        <f t="shared" ref="S27:S58" si="2">P27/H27</f>
        <v>#DIV/0!</v>
      </c>
      <c r="T27" s="10" t="e">
        <f t="shared" ref="T27:T58" si="3">Q27/I27</f>
        <v>#DIV/0!</v>
      </c>
      <c r="U27" s="47"/>
      <c r="V27" s="30" t="e">
        <f>bdrate($D27:$D30,E27:E30,$L27:$L30,M27:M30)</f>
        <v>#VALUE!</v>
      </c>
      <c r="W27" s="35" t="e">
        <f>bdrate($D27:$D30,F27:F30,$L27:$L30,N27:N30)</f>
        <v>#VALUE!</v>
      </c>
      <c r="X27" s="36" t="e">
        <f>bdrate($D27:$D30,G27:G30,$L27:$L30,O27:O30)</f>
        <v>#VALUE!</v>
      </c>
      <c r="Y27" s="30" t="e">
        <f>bdrateOld($D27:$D30,E27:E30,$L27:$L30,M27:M30)</f>
        <v>#VALUE!</v>
      </c>
      <c r="Z27" s="35" t="e">
        <f>bdrateOld($D27:$D30,F27:F30,$L27:$L30,N27:N30)</f>
        <v>#VALUE!</v>
      </c>
      <c r="AA27" s="36" t="e">
        <f>bdrateOld($D27:$D30,G27:G30,$L27:$L30,O27:O30)</f>
        <v>#VALUE!</v>
      </c>
    </row>
    <row r="28" spans="1:27" x14ac:dyDescent="0.2">
      <c r="A28" s="25" t="s">
        <v>70</v>
      </c>
      <c r="B28" s="25"/>
      <c r="C28" s="25">
        <v>27</v>
      </c>
      <c r="D28" s="12">
        <f>Reference!B234</f>
        <v>0</v>
      </c>
      <c r="E28" s="13">
        <f>Reference!C234</f>
        <v>0</v>
      </c>
      <c r="F28" s="13">
        <f>Reference!D234</f>
        <v>0</v>
      </c>
      <c r="G28" s="13">
        <f>Reference!E234</f>
        <v>0</v>
      </c>
      <c r="H28" s="13">
        <f>Reference!F234</f>
        <v>0</v>
      </c>
      <c r="I28" s="13">
        <f>Reference!G234</f>
        <v>0</v>
      </c>
      <c r="J28" s="14">
        <f t="shared" si="0"/>
        <v>0</v>
      </c>
      <c r="L28" s="12">
        <f>Test!B234</f>
        <v>0</v>
      </c>
      <c r="M28" s="13">
        <f>Test!C234</f>
        <v>0</v>
      </c>
      <c r="N28" s="13">
        <f>Test!D234</f>
        <v>0</v>
      </c>
      <c r="O28" s="13">
        <f>Test!E234</f>
        <v>0</v>
      </c>
      <c r="P28" s="13">
        <f>Test!F234</f>
        <v>0</v>
      </c>
      <c r="Q28" s="13">
        <f>Test!G234</f>
        <v>0</v>
      </c>
      <c r="R28" s="14">
        <f t="shared" si="1"/>
        <v>0</v>
      </c>
      <c r="S28" s="13" t="e">
        <f t="shared" si="2"/>
        <v>#DIV/0!</v>
      </c>
      <c r="T28" s="13" t="e">
        <f t="shared" si="3"/>
        <v>#DIV/0!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Reference!B235</f>
        <v>0</v>
      </c>
      <c r="E29" s="13">
        <f>Reference!C235</f>
        <v>0</v>
      </c>
      <c r="F29" s="13">
        <f>Reference!D235</f>
        <v>0</v>
      </c>
      <c r="G29" s="13">
        <f>Reference!E235</f>
        <v>0</v>
      </c>
      <c r="H29" s="13">
        <f>Reference!F235</f>
        <v>0</v>
      </c>
      <c r="I29" s="13">
        <f>Reference!G235</f>
        <v>0</v>
      </c>
      <c r="J29" s="14">
        <f t="shared" si="0"/>
        <v>0</v>
      </c>
      <c r="L29" s="12">
        <f>Test!B235</f>
        <v>0</v>
      </c>
      <c r="M29" s="13">
        <f>Test!C235</f>
        <v>0</v>
      </c>
      <c r="N29" s="13">
        <f>Test!D235</f>
        <v>0</v>
      </c>
      <c r="O29" s="13">
        <f>Test!E235</f>
        <v>0</v>
      </c>
      <c r="P29" s="13">
        <f>Test!F235</f>
        <v>0</v>
      </c>
      <c r="Q29" s="13">
        <f>Test!G235</f>
        <v>0</v>
      </c>
      <c r="R29" s="14">
        <f t="shared" si="1"/>
        <v>0</v>
      </c>
      <c r="S29" s="13" t="e">
        <f t="shared" si="2"/>
        <v>#DIV/0!</v>
      </c>
      <c r="T29" s="13" t="e">
        <f t="shared" si="3"/>
        <v>#DIV/0!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Reference!B236</f>
        <v>0</v>
      </c>
      <c r="E30" s="17">
        <f>Reference!C236</f>
        <v>0</v>
      </c>
      <c r="F30" s="17">
        <f>Reference!D236</f>
        <v>0</v>
      </c>
      <c r="G30" s="17">
        <f>Reference!E236</f>
        <v>0</v>
      </c>
      <c r="H30" s="17">
        <f>Reference!F236</f>
        <v>0</v>
      </c>
      <c r="I30" s="17">
        <f>Reference!G236</f>
        <v>0</v>
      </c>
      <c r="J30" s="18">
        <f t="shared" si="0"/>
        <v>0</v>
      </c>
      <c r="L30" s="16">
        <f>Test!B236</f>
        <v>0</v>
      </c>
      <c r="M30" s="17">
        <f>Test!C236</f>
        <v>0</v>
      </c>
      <c r="N30" s="17">
        <f>Test!D236</f>
        <v>0</v>
      </c>
      <c r="O30" s="17">
        <f>Test!E236</f>
        <v>0</v>
      </c>
      <c r="P30" s="17">
        <f>Test!F236</f>
        <v>0</v>
      </c>
      <c r="Q30" s="17">
        <f>Test!G236</f>
        <v>0</v>
      </c>
      <c r="R30" s="18">
        <f t="shared" si="1"/>
        <v>0</v>
      </c>
      <c r="S30" s="13" t="e">
        <f t="shared" si="2"/>
        <v>#DIV/0!</v>
      </c>
      <c r="T30" s="13" t="e">
        <f t="shared" si="3"/>
        <v>#DIV/0!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Reference!B237</f>
        <v>0</v>
      </c>
      <c r="E31" s="10">
        <f>Reference!C237</f>
        <v>0</v>
      </c>
      <c r="F31" s="10">
        <f>Reference!D237</f>
        <v>0</v>
      </c>
      <c r="G31" s="10">
        <f>Reference!E237</f>
        <v>0</v>
      </c>
      <c r="H31" s="10">
        <f>Reference!F237</f>
        <v>0</v>
      </c>
      <c r="I31" s="10">
        <f>Reference!G237</f>
        <v>0</v>
      </c>
      <c r="J31" s="11">
        <f t="shared" si="0"/>
        <v>0</v>
      </c>
      <c r="L31" s="9">
        <f>Test!B237</f>
        <v>0</v>
      </c>
      <c r="M31" s="10">
        <f>Test!C237</f>
        <v>0</v>
      </c>
      <c r="N31" s="10">
        <f>Test!D237</f>
        <v>0</v>
      </c>
      <c r="O31" s="10">
        <f>Test!E237</f>
        <v>0</v>
      </c>
      <c r="P31" s="10">
        <f>Test!F237</f>
        <v>0</v>
      </c>
      <c r="Q31" s="10">
        <f>Test!G237</f>
        <v>0</v>
      </c>
      <c r="R31" s="11">
        <f t="shared" si="1"/>
        <v>0</v>
      </c>
      <c r="S31" s="13" t="e">
        <f t="shared" si="2"/>
        <v>#DIV/0!</v>
      </c>
      <c r="T31" s="13" t="e">
        <f t="shared" si="3"/>
        <v>#DIV/0!</v>
      </c>
      <c r="U31" s="48"/>
      <c r="V31" s="30" t="e">
        <f>bdrate($D31:$D34,E31:E34,$L31:$L34,M31:M34)</f>
        <v>#VALUE!</v>
      </c>
      <c r="W31" s="35" t="e">
        <f>bdrate($D31:$D34,F31:F34,$L31:$L34,N31:N34)</f>
        <v>#VALUE!</v>
      </c>
      <c r="X31" s="35" t="e">
        <f>bdrate($D31:$D34,G31:G34,$L31:$L34,O31:O34)</f>
        <v>#VALUE!</v>
      </c>
      <c r="Y31" s="33" t="e">
        <f>bdrateOld($D31:$D34,E31:E34,$L31:$L34,M31:M34)</f>
        <v>#VALUE!</v>
      </c>
      <c r="Z31" s="37" t="e">
        <f>bdrateOld($D31:$D34,F31:F34,$L31:$L34,N31:N34)</f>
        <v>#VALUE!</v>
      </c>
      <c r="AA31" s="38" t="e">
        <f>bdrateOld($D31:$D34,G31:G34,$L31:$L34,O31:O34)</f>
        <v>#VALUE!</v>
      </c>
    </row>
    <row r="32" spans="1:27" x14ac:dyDescent="0.2">
      <c r="A32" s="25"/>
      <c r="B32" s="25"/>
      <c r="C32" s="25">
        <v>27</v>
      </c>
      <c r="D32" s="12">
        <f>Reference!B238</f>
        <v>0</v>
      </c>
      <c r="E32" s="13">
        <f>Reference!C238</f>
        <v>0</v>
      </c>
      <c r="F32" s="13">
        <f>Reference!D238</f>
        <v>0</v>
      </c>
      <c r="G32" s="13">
        <f>Reference!E238</f>
        <v>0</v>
      </c>
      <c r="H32" s="13">
        <f>Reference!F238</f>
        <v>0</v>
      </c>
      <c r="I32" s="13">
        <f>Reference!G238</f>
        <v>0</v>
      </c>
      <c r="J32" s="14">
        <f t="shared" si="0"/>
        <v>0</v>
      </c>
      <c r="L32" s="12">
        <f>Test!B238</f>
        <v>0</v>
      </c>
      <c r="M32" s="13">
        <f>Test!C238</f>
        <v>0</v>
      </c>
      <c r="N32" s="13">
        <f>Test!D238</f>
        <v>0</v>
      </c>
      <c r="O32" s="13">
        <f>Test!E238</f>
        <v>0</v>
      </c>
      <c r="P32" s="13">
        <f>Test!F238</f>
        <v>0</v>
      </c>
      <c r="Q32" s="13">
        <f>Test!G238</f>
        <v>0</v>
      </c>
      <c r="R32" s="14">
        <f t="shared" si="1"/>
        <v>0</v>
      </c>
      <c r="S32" s="13" t="e">
        <f t="shared" si="2"/>
        <v>#DIV/0!</v>
      </c>
      <c r="T32" s="13" t="e">
        <f t="shared" si="3"/>
        <v>#DIV/0!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Reference!B239</f>
        <v>0</v>
      </c>
      <c r="E33" s="13">
        <f>Reference!C239</f>
        <v>0</v>
      </c>
      <c r="F33" s="13">
        <f>Reference!D239</f>
        <v>0</v>
      </c>
      <c r="G33" s="13">
        <f>Reference!E239</f>
        <v>0</v>
      </c>
      <c r="H33" s="13">
        <f>Reference!F239</f>
        <v>0</v>
      </c>
      <c r="I33" s="13">
        <f>Reference!G239</f>
        <v>0</v>
      </c>
      <c r="J33" s="14">
        <f t="shared" si="0"/>
        <v>0</v>
      </c>
      <c r="L33" s="12">
        <f>Test!B239</f>
        <v>0</v>
      </c>
      <c r="M33" s="13">
        <f>Test!C239</f>
        <v>0</v>
      </c>
      <c r="N33" s="13">
        <f>Test!D239</f>
        <v>0</v>
      </c>
      <c r="O33" s="13">
        <f>Test!E239</f>
        <v>0</v>
      </c>
      <c r="P33" s="13">
        <f>Test!F239</f>
        <v>0</v>
      </c>
      <c r="Q33" s="13">
        <f>Test!G239</f>
        <v>0</v>
      </c>
      <c r="R33" s="14">
        <f t="shared" si="1"/>
        <v>0</v>
      </c>
      <c r="S33" s="13" t="e">
        <f t="shared" si="2"/>
        <v>#DIV/0!</v>
      </c>
      <c r="T33" s="13" t="e">
        <f t="shared" si="3"/>
        <v>#DIV/0!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Reference!B240</f>
        <v>0</v>
      </c>
      <c r="E34" s="17">
        <f>Reference!C240</f>
        <v>0</v>
      </c>
      <c r="F34" s="17">
        <f>Reference!D240</f>
        <v>0</v>
      </c>
      <c r="G34" s="17">
        <f>Reference!E240</f>
        <v>0</v>
      </c>
      <c r="H34" s="17">
        <f>Reference!F240</f>
        <v>0</v>
      </c>
      <c r="I34" s="17">
        <f>Reference!G240</f>
        <v>0</v>
      </c>
      <c r="J34" s="18">
        <f t="shared" si="0"/>
        <v>0</v>
      </c>
      <c r="L34" s="16">
        <f>Test!B240</f>
        <v>0</v>
      </c>
      <c r="M34" s="17">
        <f>Test!C240</f>
        <v>0</v>
      </c>
      <c r="N34" s="17">
        <f>Test!D240</f>
        <v>0</v>
      </c>
      <c r="O34" s="17">
        <f>Test!E240</f>
        <v>0</v>
      </c>
      <c r="P34" s="17">
        <f>Test!F240</f>
        <v>0</v>
      </c>
      <c r="Q34" s="17">
        <f>Test!G240</f>
        <v>0</v>
      </c>
      <c r="R34" s="18">
        <f t="shared" si="1"/>
        <v>0</v>
      </c>
      <c r="S34" s="13" t="e">
        <f t="shared" si="2"/>
        <v>#DIV/0!</v>
      </c>
      <c r="T34" s="13" t="e">
        <f t="shared" si="3"/>
        <v>#DIV/0!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Reference!B241</f>
        <v>0</v>
      </c>
      <c r="E35" s="10">
        <f>Reference!C241</f>
        <v>0</v>
      </c>
      <c r="F35" s="10">
        <f>Reference!D241</f>
        <v>0</v>
      </c>
      <c r="G35" s="10">
        <f>Reference!E241</f>
        <v>0</v>
      </c>
      <c r="H35" s="10">
        <f>Reference!F241</f>
        <v>0</v>
      </c>
      <c r="I35" s="10">
        <f>Reference!G241</f>
        <v>0</v>
      </c>
      <c r="J35" s="11">
        <f t="shared" si="0"/>
        <v>0</v>
      </c>
      <c r="L35" s="9">
        <f>Test!B241</f>
        <v>0</v>
      </c>
      <c r="M35" s="10">
        <f>Test!C241</f>
        <v>0</v>
      </c>
      <c r="N35" s="10">
        <f>Test!D241</f>
        <v>0</v>
      </c>
      <c r="O35" s="10">
        <f>Test!E241</f>
        <v>0</v>
      </c>
      <c r="P35" s="10">
        <f>Test!F241</f>
        <v>0</v>
      </c>
      <c r="Q35" s="10">
        <f>Test!G241</f>
        <v>0</v>
      </c>
      <c r="R35" s="11">
        <f t="shared" si="1"/>
        <v>0</v>
      </c>
      <c r="S35" s="13" t="e">
        <f t="shared" si="2"/>
        <v>#DIV/0!</v>
      </c>
      <c r="T35" s="13" t="e">
        <f t="shared" si="3"/>
        <v>#DIV/0!</v>
      </c>
      <c r="U35" s="48"/>
      <c r="V35" s="30" t="e">
        <f>bdrate($D35:$D38,E35:E38,$L35:$L38,M35:M38)</f>
        <v>#VALUE!</v>
      </c>
      <c r="W35" s="35" t="e">
        <f>bdrate($D35:$D38,F35:F38,$L35:$L38,N35:N38)</f>
        <v>#VALUE!</v>
      </c>
      <c r="X35" s="35" t="e">
        <f>bdrate($D35:$D38,G35:G38,$L35:$L38,O35:O38)</f>
        <v>#VALUE!</v>
      </c>
      <c r="Y35" s="33" t="e">
        <f>bdrateOld($D35:$D38,E35:E38,$L35:$L38,M35:M38)</f>
        <v>#VALUE!</v>
      </c>
      <c r="Z35" s="37" t="e">
        <f>bdrateOld($D35:$D38,F35:F38,$L35:$L38,N35:N38)</f>
        <v>#VALUE!</v>
      </c>
      <c r="AA35" s="38" t="e">
        <f>bdrateOld($D35:$D38,G35:G38,$L35:$L38,O35:O38)</f>
        <v>#VALUE!</v>
      </c>
    </row>
    <row r="36" spans="1:27" x14ac:dyDescent="0.2">
      <c r="A36" s="25"/>
      <c r="B36" s="25"/>
      <c r="C36" s="25">
        <v>27</v>
      </c>
      <c r="D36" s="12">
        <f>Reference!B242</f>
        <v>0</v>
      </c>
      <c r="E36" s="13">
        <f>Reference!C242</f>
        <v>0</v>
      </c>
      <c r="F36" s="13">
        <f>Reference!D242</f>
        <v>0</v>
      </c>
      <c r="G36" s="13">
        <f>Reference!E242</f>
        <v>0</v>
      </c>
      <c r="H36" s="13">
        <f>Reference!F242</f>
        <v>0</v>
      </c>
      <c r="I36" s="13">
        <f>Reference!G242</f>
        <v>0</v>
      </c>
      <c r="J36" s="14">
        <f t="shared" si="0"/>
        <v>0</v>
      </c>
      <c r="L36" s="12">
        <f>Test!B242</f>
        <v>0</v>
      </c>
      <c r="M36" s="13">
        <f>Test!C242</f>
        <v>0</v>
      </c>
      <c r="N36" s="13">
        <f>Test!D242</f>
        <v>0</v>
      </c>
      <c r="O36" s="13">
        <f>Test!E242</f>
        <v>0</v>
      </c>
      <c r="P36" s="13">
        <f>Test!F242</f>
        <v>0</v>
      </c>
      <c r="Q36" s="13">
        <f>Test!G242</f>
        <v>0</v>
      </c>
      <c r="R36" s="14">
        <f t="shared" si="1"/>
        <v>0</v>
      </c>
      <c r="S36" s="13" t="e">
        <f t="shared" si="2"/>
        <v>#DIV/0!</v>
      </c>
      <c r="T36" s="13" t="e">
        <f t="shared" si="3"/>
        <v>#DIV/0!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Reference!B243</f>
        <v>0</v>
      </c>
      <c r="E37" s="13">
        <f>Reference!C243</f>
        <v>0</v>
      </c>
      <c r="F37" s="13">
        <f>Reference!D243</f>
        <v>0</v>
      </c>
      <c r="G37" s="13">
        <f>Reference!E243</f>
        <v>0</v>
      </c>
      <c r="H37" s="13">
        <f>Reference!F243</f>
        <v>0</v>
      </c>
      <c r="I37" s="13">
        <f>Reference!G243</f>
        <v>0</v>
      </c>
      <c r="J37" s="14">
        <f t="shared" si="0"/>
        <v>0</v>
      </c>
      <c r="L37" s="12">
        <f>Test!B243</f>
        <v>0</v>
      </c>
      <c r="M37" s="13">
        <f>Test!C243</f>
        <v>0</v>
      </c>
      <c r="N37" s="13">
        <f>Test!D243</f>
        <v>0</v>
      </c>
      <c r="O37" s="13">
        <f>Test!E243</f>
        <v>0</v>
      </c>
      <c r="P37" s="13">
        <f>Test!F243</f>
        <v>0</v>
      </c>
      <c r="Q37" s="13">
        <f>Test!G243</f>
        <v>0</v>
      </c>
      <c r="R37" s="14">
        <f t="shared" si="1"/>
        <v>0</v>
      </c>
      <c r="S37" s="13" t="e">
        <f t="shared" si="2"/>
        <v>#DIV/0!</v>
      </c>
      <c r="T37" s="13" t="e">
        <f t="shared" si="3"/>
        <v>#DIV/0!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Reference!B244</f>
        <v>0</v>
      </c>
      <c r="E38" s="17">
        <f>Reference!C244</f>
        <v>0</v>
      </c>
      <c r="F38" s="17">
        <f>Reference!D244</f>
        <v>0</v>
      </c>
      <c r="G38" s="17">
        <f>Reference!E244</f>
        <v>0</v>
      </c>
      <c r="H38" s="17">
        <f>Reference!F244</f>
        <v>0</v>
      </c>
      <c r="I38" s="17">
        <f>Reference!G244</f>
        <v>0</v>
      </c>
      <c r="J38" s="18">
        <f t="shared" si="0"/>
        <v>0</v>
      </c>
      <c r="L38" s="16">
        <f>Test!B244</f>
        <v>0</v>
      </c>
      <c r="M38" s="17">
        <f>Test!C244</f>
        <v>0</v>
      </c>
      <c r="N38" s="17">
        <f>Test!D244</f>
        <v>0</v>
      </c>
      <c r="O38" s="17">
        <f>Test!E244</f>
        <v>0</v>
      </c>
      <c r="P38" s="17">
        <f>Test!F244</f>
        <v>0</v>
      </c>
      <c r="Q38" s="17">
        <f>Test!G244</f>
        <v>0</v>
      </c>
      <c r="R38" s="18">
        <f t="shared" si="1"/>
        <v>0</v>
      </c>
      <c r="S38" s="13" t="e">
        <f t="shared" si="2"/>
        <v>#DIV/0!</v>
      </c>
      <c r="T38" s="13" t="e">
        <f t="shared" si="3"/>
        <v>#DIV/0!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Reference!B245</f>
        <v>0</v>
      </c>
      <c r="E39" s="10">
        <f>Reference!C245</f>
        <v>0</v>
      </c>
      <c r="F39" s="10">
        <f>Reference!D245</f>
        <v>0</v>
      </c>
      <c r="G39" s="10">
        <f>Reference!E245</f>
        <v>0</v>
      </c>
      <c r="H39" s="10">
        <f>Reference!F245</f>
        <v>0</v>
      </c>
      <c r="I39" s="10">
        <f>Reference!G245</f>
        <v>0</v>
      </c>
      <c r="J39" s="11">
        <f t="shared" si="0"/>
        <v>0</v>
      </c>
      <c r="L39" s="9">
        <f>Test!B245</f>
        <v>0</v>
      </c>
      <c r="M39" s="10">
        <f>Test!C245</f>
        <v>0</v>
      </c>
      <c r="N39" s="10">
        <f>Test!D245</f>
        <v>0</v>
      </c>
      <c r="O39" s="10">
        <f>Test!E245</f>
        <v>0</v>
      </c>
      <c r="P39" s="10">
        <f>Test!F245</f>
        <v>0</v>
      </c>
      <c r="Q39" s="10">
        <f>Test!G245</f>
        <v>0</v>
      </c>
      <c r="R39" s="11">
        <f t="shared" si="1"/>
        <v>0</v>
      </c>
      <c r="S39" s="13" t="e">
        <f t="shared" si="2"/>
        <v>#DIV/0!</v>
      </c>
      <c r="T39" s="13" t="e">
        <f t="shared" si="3"/>
        <v>#DIV/0!</v>
      </c>
      <c r="U39" s="48"/>
      <c r="V39" s="30" t="e">
        <f>bdrate($D39:$D42,E39:E42,$L39:$L42,M39:M42)</f>
        <v>#VALUE!</v>
      </c>
      <c r="W39" s="35" t="e">
        <f>bdrate($D39:$D42,F39:F42,$L39:$L42,N39:N42)</f>
        <v>#VALUE!</v>
      </c>
      <c r="X39" s="35" t="e">
        <f>bdrate($D39:$D42,G39:G42,$L39:$L42,O39:O42)</f>
        <v>#VALUE!</v>
      </c>
      <c r="Y39" s="33" t="e">
        <f>bdrateOld($D39:$D42,E39:E42,$L39:$L42,M39:M42)</f>
        <v>#VALUE!</v>
      </c>
      <c r="Z39" s="37" t="e">
        <f>bdrateOld($D39:$D42,F39:F42,$L39:$L42,N39:N42)</f>
        <v>#VALUE!</v>
      </c>
      <c r="AA39" s="38" t="e">
        <f>bdrateOld($D39:$D42,G39:G42,$L39:$L42,O39:O42)</f>
        <v>#VALUE!</v>
      </c>
    </row>
    <row r="40" spans="1:27" x14ac:dyDescent="0.2">
      <c r="A40" s="25"/>
      <c r="B40" s="25"/>
      <c r="C40" s="25">
        <v>27</v>
      </c>
      <c r="D40" s="12">
        <f>Reference!B246</f>
        <v>0</v>
      </c>
      <c r="E40" s="13">
        <f>Reference!C246</f>
        <v>0</v>
      </c>
      <c r="F40" s="13">
        <f>Reference!D246</f>
        <v>0</v>
      </c>
      <c r="G40" s="13">
        <f>Reference!E246</f>
        <v>0</v>
      </c>
      <c r="H40" s="13">
        <f>Reference!F246</f>
        <v>0</v>
      </c>
      <c r="I40" s="13">
        <f>Reference!G246</f>
        <v>0</v>
      </c>
      <c r="J40" s="14">
        <f t="shared" si="0"/>
        <v>0</v>
      </c>
      <c r="L40" s="12">
        <f>Test!B246</f>
        <v>0</v>
      </c>
      <c r="M40" s="13">
        <f>Test!C246</f>
        <v>0</v>
      </c>
      <c r="N40" s="13">
        <f>Test!D246</f>
        <v>0</v>
      </c>
      <c r="O40" s="13">
        <f>Test!E246</f>
        <v>0</v>
      </c>
      <c r="P40" s="13">
        <f>Test!F246</f>
        <v>0</v>
      </c>
      <c r="Q40" s="13">
        <f>Test!G246</f>
        <v>0</v>
      </c>
      <c r="R40" s="14">
        <f t="shared" si="1"/>
        <v>0</v>
      </c>
      <c r="S40" s="13" t="e">
        <f t="shared" si="2"/>
        <v>#DIV/0!</v>
      </c>
      <c r="T40" s="13" t="e">
        <f t="shared" si="3"/>
        <v>#DIV/0!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Reference!B247</f>
        <v>0</v>
      </c>
      <c r="E41" s="13">
        <f>Reference!C247</f>
        <v>0</v>
      </c>
      <c r="F41" s="13">
        <f>Reference!D247</f>
        <v>0</v>
      </c>
      <c r="G41" s="13">
        <f>Reference!E247</f>
        <v>0</v>
      </c>
      <c r="H41" s="13">
        <f>Reference!F247</f>
        <v>0</v>
      </c>
      <c r="I41" s="13">
        <f>Reference!G247</f>
        <v>0</v>
      </c>
      <c r="J41" s="14">
        <f t="shared" si="0"/>
        <v>0</v>
      </c>
      <c r="L41" s="12">
        <f>Test!B247</f>
        <v>0</v>
      </c>
      <c r="M41" s="13">
        <f>Test!C247</f>
        <v>0</v>
      </c>
      <c r="N41" s="13">
        <f>Test!D247</f>
        <v>0</v>
      </c>
      <c r="O41" s="13">
        <f>Test!E247</f>
        <v>0</v>
      </c>
      <c r="P41" s="13">
        <f>Test!F247</f>
        <v>0</v>
      </c>
      <c r="Q41" s="13">
        <f>Test!G247</f>
        <v>0</v>
      </c>
      <c r="R41" s="14">
        <f t="shared" si="1"/>
        <v>0</v>
      </c>
      <c r="S41" s="13" t="e">
        <f t="shared" si="2"/>
        <v>#DIV/0!</v>
      </c>
      <c r="T41" s="13" t="e">
        <f t="shared" si="3"/>
        <v>#DIV/0!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Reference!B248</f>
        <v>0</v>
      </c>
      <c r="E42" s="17">
        <f>Reference!C248</f>
        <v>0</v>
      </c>
      <c r="F42" s="17">
        <f>Reference!D248</f>
        <v>0</v>
      </c>
      <c r="G42" s="17">
        <f>Reference!E248</f>
        <v>0</v>
      </c>
      <c r="H42" s="17">
        <f>Reference!F248</f>
        <v>0</v>
      </c>
      <c r="I42" s="17">
        <f>Reference!G248</f>
        <v>0</v>
      </c>
      <c r="J42" s="18">
        <f t="shared" si="0"/>
        <v>0</v>
      </c>
      <c r="L42" s="16">
        <f>Test!B248</f>
        <v>0</v>
      </c>
      <c r="M42" s="17">
        <f>Test!C248</f>
        <v>0</v>
      </c>
      <c r="N42" s="17">
        <f>Test!D248</f>
        <v>0</v>
      </c>
      <c r="O42" s="17">
        <f>Test!E248</f>
        <v>0</v>
      </c>
      <c r="P42" s="17">
        <f>Test!F248</f>
        <v>0</v>
      </c>
      <c r="Q42" s="17">
        <f>Test!G248</f>
        <v>0</v>
      </c>
      <c r="R42" s="18">
        <f t="shared" si="1"/>
        <v>0</v>
      </c>
      <c r="S42" s="13" t="e">
        <f t="shared" si="2"/>
        <v>#DIV/0!</v>
      </c>
      <c r="T42" s="13" t="e">
        <f t="shared" si="3"/>
        <v>#DIV/0!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Reference!B249</f>
        <v>0</v>
      </c>
      <c r="E43" s="10">
        <f>Reference!C249</f>
        <v>0</v>
      </c>
      <c r="F43" s="10">
        <f>Reference!D249</f>
        <v>0</v>
      </c>
      <c r="G43" s="10">
        <f>Reference!E249</f>
        <v>0</v>
      </c>
      <c r="H43" s="10">
        <f>Reference!F249</f>
        <v>0</v>
      </c>
      <c r="I43" s="10">
        <f>Reference!G249</f>
        <v>0</v>
      </c>
      <c r="J43" s="11">
        <f t="shared" si="0"/>
        <v>0</v>
      </c>
      <c r="L43" s="9">
        <f>Test!B249</f>
        <v>0</v>
      </c>
      <c r="M43" s="10">
        <f>Test!C249</f>
        <v>0</v>
      </c>
      <c r="N43" s="10">
        <f>Test!D249</f>
        <v>0</v>
      </c>
      <c r="O43" s="10">
        <f>Test!E249</f>
        <v>0</v>
      </c>
      <c r="P43" s="10">
        <f>Test!F249</f>
        <v>0</v>
      </c>
      <c r="Q43" s="10">
        <f>Test!G249</f>
        <v>0</v>
      </c>
      <c r="R43" s="11">
        <f t="shared" si="1"/>
        <v>0</v>
      </c>
      <c r="S43" s="13" t="e">
        <f t="shared" si="2"/>
        <v>#DIV/0!</v>
      </c>
      <c r="T43" s="13" t="e">
        <f t="shared" si="3"/>
        <v>#DIV/0!</v>
      </c>
      <c r="U43" s="48"/>
      <c r="V43" s="30" t="e">
        <f>bdrate($D43:$D46,E43:E46,$L43:$L46,M43:M46)</f>
        <v>#VALUE!</v>
      </c>
      <c r="W43" s="35" t="e">
        <f>bdrate($D43:$D46,F43:F46,$L43:$L46,N43:N46)</f>
        <v>#VALUE!</v>
      </c>
      <c r="X43" s="35" t="e">
        <f>bdrate($D43:$D46,G43:G46,$L43:$L46,O43:O46)</f>
        <v>#VALUE!</v>
      </c>
      <c r="Y43" s="33" t="e">
        <f>bdrateOld($D43:$D46,E43:E46,$L43:$L46,M43:M46)</f>
        <v>#VALUE!</v>
      </c>
      <c r="Z43" s="37" t="e">
        <f>bdrateOld($D43:$D46,F43:F46,$L43:$L46,N43:N46)</f>
        <v>#VALUE!</v>
      </c>
      <c r="AA43" s="38" t="e">
        <f>bdrateOld($D43:$D46,G43:G46,$L43:$L46,O43:O46)</f>
        <v>#VALUE!</v>
      </c>
    </row>
    <row r="44" spans="1:27" x14ac:dyDescent="0.2">
      <c r="A44" s="25"/>
      <c r="B44" s="25"/>
      <c r="C44" s="25">
        <v>27</v>
      </c>
      <c r="D44" s="12">
        <f>Reference!B250</f>
        <v>0</v>
      </c>
      <c r="E44" s="13">
        <f>Reference!C250</f>
        <v>0</v>
      </c>
      <c r="F44" s="13">
        <f>Reference!D250</f>
        <v>0</v>
      </c>
      <c r="G44" s="13">
        <f>Reference!E250</f>
        <v>0</v>
      </c>
      <c r="H44" s="13">
        <f>Reference!F250</f>
        <v>0</v>
      </c>
      <c r="I44" s="13">
        <f>Reference!G250</f>
        <v>0</v>
      </c>
      <c r="J44" s="14">
        <f t="shared" si="0"/>
        <v>0</v>
      </c>
      <c r="L44" s="12">
        <f>Test!B250</f>
        <v>0</v>
      </c>
      <c r="M44" s="13">
        <f>Test!C250</f>
        <v>0</v>
      </c>
      <c r="N44" s="13">
        <f>Test!D250</f>
        <v>0</v>
      </c>
      <c r="O44" s="13">
        <f>Test!E250</f>
        <v>0</v>
      </c>
      <c r="P44" s="13">
        <f>Test!F250</f>
        <v>0</v>
      </c>
      <c r="Q44" s="13">
        <f>Test!G250</f>
        <v>0</v>
      </c>
      <c r="R44" s="14">
        <f t="shared" si="1"/>
        <v>0</v>
      </c>
      <c r="S44" s="13" t="e">
        <f t="shared" si="2"/>
        <v>#DIV/0!</v>
      </c>
      <c r="T44" s="13" t="e">
        <f t="shared" si="3"/>
        <v>#DIV/0!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Reference!B251</f>
        <v>0</v>
      </c>
      <c r="E45" s="13">
        <f>Reference!C251</f>
        <v>0</v>
      </c>
      <c r="F45" s="13">
        <f>Reference!D251</f>
        <v>0</v>
      </c>
      <c r="G45" s="13">
        <f>Reference!E251</f>
        <v>0</v>
      </c>
      <c r="H45" s="13">
        <f>Reference!F251</f>
        <v>0</v>
      </c>
      <c r="I45" s="13">
        <f>Reference!G251</f>
        <v>0</v>
      </c>
      <c r="J45" s="14">
        <f t="shared" si="0"/>
        <v>0</v>
      </c>
      <c r="L45" s="12">
        <f>Test!B251</f>
        <v>0</v>
      </c>
      <c r="M45" s="13">
        <f>Test!C251</f>
        <v>0</v>
      </c>
      <c r="N45" s="13">
        <f>Test!D251</f>
        <v>0</v>
      </c>
      <c r="O45" s="13">
        <f>Test!E251</f>
        <v>0</v>
      </c>
      <c r="P45" s="13">
        <f>Test!F251</f>
        <v>0</v>
      </c>
      <c r="Q45" s="13">
        <f>Test!G251</f>
        <v>0</v>
      </c>
      <c r="R45" s="14">
        <f t="shared" si="1"/>
        <v>0</v>
      </c>
      <c r="S45" s="13" t="e">
        <f t="shared" si="2"/>
        <v>#DIV/0!</v>
      </c>
      <c r="T45" s="13" t="e">
        <f t="shared" si="3"/>
        <v>#DIV/0!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Reference!B252</f>
        <v>0</v>
      </c>
      <c r="E46" s="17">
        <f>Reference!C252</f>
        <v>0</v>
      </c>
      <c r="F46" s="17">
        <f>Reference!D252</f>
        <v>0</v>
      </c>
      <c r="G46" s="17">
        <f>Reference!E252</f>
        <v>0</v>
      </c>
      <c r="H46" s="17">
        <f>Reference!F252</f>
        <v>0</v>
      </c>
      <c r="I46" s="17">
        <f>Reference!G252</f>
        <v>0</v>
      </c>
      <c r="J46" s="18">
        <f t="shared" si="0"/>
        <v>0</v>
      </c>
      <c r="L46" s="16">
        <f>Test!B252</f>
        <v>0</v>
      </c>
      <c r="M46" s="17">
        <f>Test!C252</f>
        <v>0</v>
      </c>
      <c r="N46" s="17">
        <f>Test!D252</f>
        <v>0</v>
      </c>
      <c r="O46" s="17">
        <f>Test!E252</f>
        <v>0</v>
      </c>
      <c r="P46" s="17">
        <f>Test!F252</f>
        <v>0</v>
      </c>
      <c r="Q46" s="17">
        <f>Test!G252</f>
        <v>0</v>
      </c>
      <c r="R46" s="18">
        <f t="shared" si="1"/>
        <v>0</v>
      </c>
      <c r="S46" s="13" t="e">
        <f t="shared" si="2"/>
        <v>#DIV/0!</v>
      </c>
      <c r="T46" s="13" t="e">
        <f t="shared" si="3"/>
        <v>#DIV/0!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9</v>
      </c>
      <c r="B47" s="24" t="s">
        <v>44</v>
      </c>
      <c r="C47" s="24">
        <v>22</v>
      </c>
      <c r="D47" s="9">
        <f>Reference!B253</f>
        <v>0</v>
      </c>
      <c r="E47" s="10">
        <f>Reference!C253</f>
        <v>0</v>
      </c>
      <c r="F47" s="10">
        <f>Reference!D253</f>
        <v>0</v>
      </c>
      <c r="G47" s="10">
        <f>Reference!E253</f>
        <v>0</v>
      </c>
      <c r="H47" s="10">
        <f>Reference!F253</f>
        <v>0</v>
      </c>
      <c r="I47" s="10">
        <f>Reference!G253</f>
        <v>0</v>
      </c>
      <c r="J47" s="11">
        <f t="shared" si="0"/>
        <v>0</v>
      </c>
      <c r="L47" s="9">
        <f>Test!B253</f>
        <v>0</v>
      </c>
      <c r="M47" s="10">
        <f>Test!C253</f>
        <v>0</v>
      </c>
      <c r="N47" s="10">
        <f>Test!D253</f>
        <v>0</v>
      </c>
      <c r="O47" s="10">
        <f>Test!E253</f>
        <v>0</v>
      </c>
      <c r="P47" s="10">
        <f>Test!F253</f>
        <v>0</v>
      </c>
      <c r="Q47" s="10">
        <f>Test!G253</f>
        <v>0</v>
      </c>
      <c r="R47" s="11">
        <f t="shared" si="1"/>
        <v>0</v>
      </c>
      <c r="S47" s="10" t="e">
        <f t="shared" si="2"/>
        <v>#DIV/0!</v>
      </c>
      <c r="T47" s="10" t="e">
        <f t="shared" si="3"/>
        <v>#DIV/0!</v>
      </c>
      <c r="U47" s="47"/>
      <c r="V47" s="30" t="e">
        <f>bdrate($D47:$D50,E47:E50,$L47:$L50,M47:M50)</f>
        <v>#VALUE!</v>
      </c>
      <c r="W47" s="35" t="e">
        <f>bdrate($D47:$D50,F47:F50,$L47:$L50,N47:N50)</f>
        <v>#VALUE!</v>
      </c>
      <c r="X47" s="36" t="e">
        <f>bdrate($D47:$D50,G47:G50,$L47:$L50,O47:O50)</f>
        <v>#VALUE!</v>
      </c>
      <c r="Y47" s="30" t="e">
        <f>bdrateOld($D47:$D50,E47:E50,$L47:$L50,M47:M50)</f>
        <v>#VALUE!</v>
      </c>
      <c r="Z47" s="35" t="e">
        <f>bdrateOld($D47:$D50,F47:F50,$L47:$L50,N47:N50)</f>
        <v>#VALUE!</v>
      </c>
      <c r="AA47" s="36" t="e">
        <f>bdrateOld($D47:$D50,G47:G50,$L47:$L50,O47:O50)</f>
        <v>#VALUE!</v>
      </c>
    </row>
    <row r="48" spans="1:27" x14ac:dyDescent="0.2">
      <c r="A48" s="25" t="s">
        <v>71</v>
      </c>
      <c r="B48" s="25"/>
      <c r="C48" s="25">
        <v>27</v>
      </c>
      <c r="D48" s="12">
        <f>Reference!B254</f>
        <v>0</v>
      </c>
      <c r="E48" s="13">
        <f>Reference!C254</f>
        <v>0</v>
      </c>
      <c r="F48" s="13">
        <f>Reference!D254</f>
        <v>0</v>
      </c>
      <c r="G48" s="13">
        <f>Reference!E254</f>
        <v>0</v>
      </c>
      <c r="H48" s="13">
        <f>Reference!F254</f>
        <v>0</v>
      </c>
      <c r="I48" s="13">
        <f>Reference!G254</f>
        <v>0</v>
      </c>
      <c r="J48" s="14">
        <f t="shared" si="0"/>
        <v>0</v>
      </c>
      <c r="L48" s="12">
        <f>Test!B254</f>
        <v>0</v>
      </c>
      <c r="M48" s="13">
        <f>Test!C254</f>
        <v>0</v>
      </c>
      <c r="N48" s="13">
        <f>Test!D254</f>
        <v>0</v>
      </c>
      <c r="O48" s="13">
        <f>Test!E254</f>
        <v>0</v>
      </c>
      <c r="P48" s="13">
        <f>Test!F254</f>
        <v>0</v>
      </c>
      <c r="Q48" s="13">
        <f>Test!G254</f>
        <v>0</v>
      </c>
      <c r="R48" s="14">
        <f t="shared" si="1"/>
        <v>0</v>
      </c>
      <c r="S48" s="13" t="e">
        <f t="shared" si="2"/>
        <v>#DIV/0!</v>
      </c>
      <c r="T48" s="13" t="e">
        <f t="shared" si="3"/>
        <v>#DIV/0!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Reference!B255</f>
        <v>0</v>
      </c>
      <c r="E49" s="13">
        <f>Reference!C255</f>
        <v>0</v>
      </c>
      <c r="F49" s="13">
        <f>Reference!D255</f>
        <v>0</v>
      </c>
      <c r="G49" s="13">
        <f>Reference!E255</f>
        <v>0</v>
      </c>
      <c r="H49" s="13">
        <f>Reference!F255</f>
        <v>0</v>
      </c>
      <c r="I49" s="13">
        <f>Reference!G255</f>
        <v>0</v>
      </c>
      <c r="J49" s="14">
        <f t="shared" si="0"/>
        <v>0</v>
      </c>
      <c r="L49" s="12">
        <f>Test!B255</f>
        <v>0</v>
      </c>
      <c r="M49" s="13">
        <f>Test!C255</f>
        <v>0</v>
      </c>
      <c r="N49" s="13">
        <f>Test!D255</f>
        <v>0</v>
      </c>
      <c r="O49" s="13">
        <f>Test!E255</f>
        <v>0</v>
      </c>
      <c r="P49" s="13">
        <f>Test!F255</f>
        <v>0</v>
      </c>
      <c r="Q49" s="13">
        <f>Test!G255</f>
        <v>0</v>
      </c>
      <c r="R49" s="14">
        <f t="shared" si="1"/>
        <v>0</v>
      </c>
      <c r="S49" s="13" t="e">
        <f t="shared" si="2"/>
        <v>#DIV/0!</v>
      </c>
      <c r="T49" s="13" t="e">
        <f t="shared" si="3"/>
        <v>#DIV/0!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Reference!B256</f>
        <v>0</v>
      </c>
      <c r="E50" s="17">
        <f>Reference!C256</f>
        <v>0</v>
      </c>
      <c r="F50" s="17">
        <f>Reference!D256</f>
        <v>0</v>
      </c>
      <c r="G50" s="17">
        <f>Reference!E256</f>
        <v>0</v>
      </c>
      <c r="H50" s="17">
        <f>Reference!F256</f>
        <v>0</v>
      </c>
      <c r="I50" s="17">
        <f>Reference!G256</f>
        <v>0</v>
      </c>
      <c r="J50" s="18">
        <f t="shared" si="0"/>
        <v>0</v>
      </c>
      <c r="L50" s="16">
        <f>Test!B256</f>
        <v>0</v>
      </c>
      <c r="M50" s="17">
        <f>Test!C256</f>
        <v>0</v>
      </c>
      <c r="N50" s="17">
        <f>Test!D256</f>
        <v>0</v>
      </c>
      <c r="O50" s="17">
        <f>Test!E256</f>
        <v>0</v>
      </c>
      <c r="P50" s="17">
        <f>Test!F256</f>
        <v>0</v>
      </c>
      <c r="Q50" s="17">
        <f>Test!G256</f>
        <v>0</v>
      </c>
      <c r="R50" s="18">
        <f t="shared" si="1"/>
        <v>0</v>
      </c>
      <c r="S50" s="13" t="e">
        <f t="shared" si="2"/>
        <v>#DIV/0!</v>
      </c>
      <c r="T50" s="13" t="e">
        <f t="shared" si="3"/>
        <v>#DIV/0!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45</v>
      </c>
      <c r="C51" s="24">
        <v>22</v>
      </c>
      <c r="D51" s="9">
        <f>Reference!B257</f>
        <v>0</v>
      </c>
      <c r="E51" s="10">
        <f>Reference!C257</f>
        <v>0</v>
      </c>
      <c r="F51" s="10">
        <f>Reference!D257</f>
        <v>0</v>
      </c>
      <c r="G51" s="10">
        <f>Reference!E257</f>
        <v>0</v>
      </c>
      <c r="H51" s="10">
        <f>Reference!F257</f>
        <v>0</v>
      </c>
      <c r="I51" s="10">
        <f>Reference!G257</f>
        <v>0</v>
      </c>
      <c r="J51" s="11">
        <f t="shared" si="0"/>
        <v>0</v>
      </c>
      <c r="L51" s="9">
        <f>Test!B257</f>
        <v>0</v>
      </c>
      <c r="M51" s="10">
        <f>Test!C257</f>
        <v>0</v>
      </c>
      <c r="N51" s="10">
        <f>Test!D257</f>
        <v>0</v>
      </c>
      <c r="O51" s="10">
        <f>Test!E257</f>
        <v>0</v>
      </c>
      <c r="P51" s="10">
        <f>Test!F257</f>
        <v>0</v>
      </c>
      <c r="Q51" s="10">
        <f>Test!G257</f>
        <v>0</v>
      </c>
      <c r="R51" s="11">
        <f t="shared" si="1"/>
        <v>0</v>
      </c>
      <c r="S51" s="13" t="e">
        <f t="shared" si="2"/>
        <v>#DIV/0!</v>
      </c>
      <c r="T51" s="13" t="e">
        <f t="shared" si="3"/>
        <v>#DIV/0!</v>
      </c>
      <c r="U51" s="48"/>
      <c r="V51" s="30" t="e">
        <f>bdrate($D51:$D54,E51:E54,$L51:$L54,M51:M54)</f>
        <v>#VALUE!</v>
      </c>
      <c r="W51" s="35" t="e">
        <f>bdrate($D51:$D54,F51:F54,$L51:$L54,N51:N54)</f>
        <v>#VALUE!</v>
      </c>
      <c r="X51" s="35" t="e">
        <f>bdrate($D51:$D54,G51:G54,$L51:$L54,O51:O54)</f>
        <v>#VALUE!</v>
      </c>
      <c r="Y51" s="33" t="e">
        <f>bdrateOld($D51:$D54,E51:E54,$L51:$L54,M51:M54)</f>
        <v>#VALUE!</v>
      </c>
      <c r="Z51" s="37" t="e">
        <f>bdrateOld($D51:$D54,F51:F54,$L51:$L54,N51:N54)</f>
        <v>#VALUE!</v>
      </c>
      <c r="AA51" s="38" t="e">
        <f>bdrateOld($D51:$D54,G51:G54,$L51:$L54,O51:O54)</f>
        <v>#VALUE!</v>
      </c>
    </row>
    <row r="52" spans="1:27" x14ac:dyDescent="0.2">
      <c r="A52" s="25"/>
      <c r="B52" s="25"/>
      <c r="C52" s="25">
        <v>27</v>
      </c>
      <c r="D52" s="12">
        <f>Reference!B258</f>
        <v>0</v>
      </c>
      <c r="E52" s="13">
        <f>Reference!C258</f>
        <v>0</v>
      </c>
      <c r="F52" s="13">
        <f>Reference!D258</f>
        <v>0</v>
      </c>
      <c r="G52" s="13">
        <f>Reference!E258</f>
        <v>0</v>
      </c>
      <c r="H52" s="13">
        <f>Reference!F258</f>
        <v>0</v>
      </c>
      <c r="I52" s="13">
        <f>Reference!G258</f>
        <v>0</v>
      </c>
      <c r="J52" s="14">
        <f t="shared" si="0"/>
        <v>0</v>
      </c>
      <c r="L52" s="12">
        <f>Test!B258</f>
        <v>0</v>
      </c>
      <c r="M52" s="13">
        <f>Test!C258</f>
        <v>0</v>
      </c>
      <c r="N52" s="13">
        <f>Test!D258</f>
        <v>0</v>
      </c>
      <c r="O52" s="13">
        <f>Test!E258</f>
        <v>0</v>
      </c>
      <c r="P52" s="13">
        <f>Test!F258</f>
        <v>0</v>
      </c>
      <c r="Q52" s="13">
        <f>Test!G258</f>
        <v>0</v>
      </c>
      <c r="R52" s="14">
        <f t="shared" si="1"/>
        <v>0</v>
      </c>
      <c r="S52" s="13" t="e">
        <f t="shared" si="2"/>
        <v>#DIV/0!</v>
      </c>
      <c r="T52" s="13" t="e">
        <f t="shared" si="3"/>
        <v>#DIV/0!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Reference!B259</f>
        <v>0</v>
      </c>
      <c r="E53" s="13">
        <f>Reference!C259</f>
        <v>0</v>
      </c>
      <c r="F53" s="13">
        <f>Reference!D259</f>
        <v>0</v>
      </c>
      <c r="G53" s="13">
        <f>Reference!E259</f>
        <v>0</v>
      </c>
      <c r="H53" s="13">
        <f>Reference!F259</f>
        <v>0</v>
      </c>
      <c r="I53" s="13">
        <f>Reference!G259</f>
        <v>0</v>
      </c>
      <c r="J53" s="14">
        <f t="shared" si="0"/>
        <v>0</v>
      </c>
      <c r="L53" s="12">
        <f>Test!B259</f>
        <v>0</v>
      </c>
      <c r="M53" s="13">
        <f>Test!C259</f>
        <v>0</v>
      </c>
      <c r="N53" s="13">
        <f>Test!D259</f>
        <v>0</v>
      </c>
      <c r="O53" s="13">
        <f>Test!E259</f>
        <v>0</v>
      </c>
      <c r="P53" s="13">
        <f>Test!F259</f>
        <v>0</v>
      </c>
      <c r="Q53" s="13">
        <f>Test!G259</f>
        <v>0</v>
      </c>
      <c r="R53" s="14">
        <f t="shared" si="1"/>
        <v>0</v>
      </c>
      <c r="S53" s="13" t="e">
        <f t="shared" si="2"/>
        <v>#DIV/0!</v>
      </c>
      <c r="T53" s="13" t="e">
        <f t="shared" si="3"/>
        <v>#DIV/0!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Reference!B260</f>
        <v>0</v>
      </c>
      <c r="E54" s="17">
        <f>Reference!C260</f>
        <v>0</v>
      </c>
      <c r="F54" s="17">
        <f>Reference!D260</f>
        <v>0</v>
      </c>
      <c r="G54" s="17">
        <f>Reference!E260</f>
        <v>0</v>
      </c>
      <c r="H54" s="17">
        <f>Reference!F260</f>
        <v>0</v>
      </c>
      <c r="I54" s="17">
        <f>Reference!G260</f>
        <v>0</v>
      </c>
      <c r="J54" s="18">
        <f t="shared" si="0"/>
        <v>0</v>
      </c>
      <c r="L54" s="16">
        <f>Test!B260</f>
        <v>0</v>
      </c>
      <c r="M54" s="17">
        <f>Test!C260</f>
        <v>0</v>
      </c>
      <c r="N54" s="17">
        <f>Test!D260</f>
        <v>0</v>
      </c>
      <c r="O54" s="17">
        <f>Test!E260</f>
        <v>0</v>
      </c>
      <c r="P54" s="17">
        <f>Test!F260</f>
        <v>0</v>
      </c>
      <c r="Q54" s="17">
        <f>Test!G260</f>
        <v>0</v>
      </c>
      <c r="R54" s="18">
        <f t="shared" si="1"/>
        <v>0</v>
      </c>
      <c r="S54" s="13" t="e">
        <f t="shared" si="2"/>
        <v>#DIV/0!</v>
      </c>
      <c r="T54" s="13" t="e">
        <f t="shared" si="3"/>
        <v>#DIV/0!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72</v>
      </c>
      <c r="C55" s="24">
        <v>22</v>
      </c>
      <c r="D55" s="9">
        <f>Reference!B261</f>
        <v>0</v>
      </c>
      <c r="E55" s="10">
        <f>Reference!C261</f>
        <v>0</v>
      </c>
      <c r="F55" s="10">
        <f>Reference!D261</f>
        <v>0</v>
      </c>
      <c r="G55" s="10">
        <f>Reference!E261</f>
        <v>0</v>
      </c>
      <c r="H55" s="10">
        <f>Reference!F261</f>
        <v>0</v>
      </c>
      <c r="I55" s="10">
        <f>Reference!G261</f>
        <v>0</v>
      </c>
      <c r="J55" s="11">
        <f t="shared" si="0"/>
        <v>0</v>
      </c>
      <c r="L55" s="9">
        <f>Test!B261</f>
        <v>0</v>
      </c>
      <c r="M55" s="10">
        <f>Test!C261</f>
        <v>0</v>
      </c>
      <c r="N55" s="10">
        <f>Test!D261</f>
        <v>0</v>
      </c>
      <c r="O55" s="10">
        <f>Test!E261</f>
        <v>0</v>
      </c>
      <c r="P55" s="10">
        <f>Test!F261</f>
        <v>0</v>
      </c>
      <c r="Q55" s="10">
        <f>Test!G261</f>
        <v>0</v>
      </c>
      <c r="R55" s="11">
        <f t="shared" si="1"/>
        <v>0</v>
      </c>
      <c r="S55" s="13" t="e">
        <f t="shared" si="2"/>
        <v>#DIV/0!</v>
      </c>
      <c r="T55" s="13" t="e">
        <f t="shared" si="3"/>
        <v>#DIV/0!</v>
      </c>
      <c r="U55" s="48"/>
      <c r="V55" s="30" t="e">
        <f>bdrate($D55:$D58,E55:E58,$L55:$L58,M55:M58)</f>
        <v>#VALUE!</v>
      </c>
      <c r="W55" s="35" t="e">
        <f>bdrate($D55:$D58,F55:F58,$L55:$L58,N55:N58)</f>
        <v>#VALUE!</v>
      </c>
      <c r="X55" s="35" t="e">
        <f>bdrate($D55:$D58,G55:G58,$L55:$L58,O55:O58)</f>
        <v>#VALUE!</v>
      </c>
      <c r="Y55" s="33" t="e">
        <f>bdrateOld($D55:$D58,E55:E58,$L55:$L58,M55:M58)</f>
        <v>#VALUE!</v>
      </c>
      <c r="Z55" s="37" t="e">
        <f>bdrateOld($D55:$D58,F55:F58,$L55:$L58,N55:N58)</f>
        <v>#VALUE!</v>
      </c>
      <c r="AA55" s="38" t="e">
        <f>bdrateOld($D55:$D58,G55:G58,$L55:$L58,O55:O58)</f>
        <v>#VALUE!</v>
      </c>
    </row>
    <row r="56" spans="1:27" x14ac:dyDescent="0.2">
      <c r="A56" s="25"/>
      <c r="B56" s="25"/>
      <c r="C56" s="25">
        <v>27</v>
      </c>
      <c r="D56" s="12">
        <f>Reference!B262</f>
        <v>0</v>
      </c>
      <c r="E56" s="13">
        <f>Reference!C262</f>
        <v>0</v>
      </c>
      <c r="F56" s="13">
        <f>Reference!D262</f>
        <v>0</v>
      </c>
      <c r="G56" s="13">
        <f>Reference!E262</f>
        <v>0</v>
      </c>
      <c r="H56" s="13">
        <f>Reference!F262</f>
        <v>0</v>
      </c>
      <c r="I56" s="13">
        <f>Reference!G262</f>
        <v>0</v>
      </c>
      <c r="J56" s="14">
        <f t="shared" si="0"/>
        <v>0</v>
      </c>
      <c r="L56" s="12">
        <f>Test!B262</f>
        <v>0</v>
      </c>
      <c r="M56" s="13">
        <f>Test!C262</f>
        <v>0</v>
      </c>
      <c r="N56" s="13">
        <f>Test!D262</f>
        <v>0</v>
      </c>
      <c r="O56" s="13">
        <f>Test!E262</f>
        <v>0</v>
      </c>
      <c r="P56" s="13">
        <f>Test!F262</f>
        <v>0</v>
      </c>
      <c r="Q56" s="13">
        <f>Test!G262</f>
        <v>0</v>
      </c>
      <c r="R56" s="14">
        <f t="shared" si="1"/>
        <v>0</v>
      </c>
      <c r="S56" s="13" t="e">
        <f t="shared" si="2"/>
        <v>#DIV/0!</v>
      </c>
      <c r="T56" s="13" t="e">
        <f t="shared" si="3"/>
        <v>#DIV/0!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Reference!B263</f>
        <v>0</v>
      </c>
      <c r="E57" s="13">
        <f>Reference!C263</f>
        <v>0</v>
      </c>
      <c r="F57" s="13">
        <f>Reference!D263</f>
        <v>0</v>
      </c>
      <c r="G57" s="13">
        <f>Reference!E263</f>
        <v>0</v>
      </c>
      <c r="H57" s="13">
        <f>Reference!F263</f>
        <v>0</v>
      </c>
      <c r="I57" s="13">
        <f>Reference!G263</f>
        <v>0</v>
      </c>
      <c r="J57" s="14">
        <f t="shared" si="0"/>
        <v>0</v>
      </c>
      <c r="L57" s="12">
        <f>Test!B263</f>
        <v>0</v>
      </c>
      <c r="M57" s="13">
        <f>Test!C263</f>
        <v>0</v>
      </c>
      <c r="N57" s="13">
        <f>Test!D263</f>
        <v>0</v>
      </c>
      <c r="O57" s="13">
        <f>Test!E263</f>
        <v>0</v>
      </c>
      <c r="P57" s="13">
        <f>Test!F263</f>
        <v>0</v>
      </c>
      <c r="Q57" s="13">
        <f>Test!G263</f>
        <v>0</v>
      </c>
      <c r="R57" s="14">
        <f t="shared" si="1"/>
        <v>0</v>
      </c>
      <c r="S57" s="13" t="e">
        <f t="shared" si="2"/>
        <v>#DIV/0!</v>
      </c>
      <c r="T57" s="13" t="e">
        <f t="shared" si="3"/>
        <v>#DIV/0!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Reference!B264</f>
        <v>0</v>
      </c>
      <c r="E58" s="17">
        <f>Reference!C264</f>
        <v>0</v>
      </c>
      <c r="F58" s="17">
        <f>Reference!D264</f>
        <v>0</v>
      </c>
      <c r="G58" s="17">
        <f>Reference!E264</f>
        <v>0</v>
      </c>
      <c r="H58" s="17">
        <f>Reference!F264</f>
        <v>0</v>
      </c>
      <c r="I58" s="17">
        <f>Reference!G264</f>
        <v>0</v>
      </c>
      <c r="J58" s="18">
        <f t="shared" si="0"/>
        <v>0</v>
      </c>
      <c r="L58" s="16">
        <f>Test!B264</f>
        <v>0</v>
      </c>
      <c r="M58" s="17">
        <f>Test!C264</f>
        <v>0</v>
      </c>
      <c r="N58" s="17">
        <f>Test!D264</f>
        <v>0</v>
      </c>
      <c r="O58" s="17">
        <f>Test!E264</f>
        <v>0</v>
      </c>
      <c r="P58" s="17">
        <f>Test!F264</f>
        <v>0</v>
      </c>
      <c r="Q58" s="17">
        <f>Test!G264</f>
        <v>0</v>
      </c>
      <c r="R58" s="18">
        <f t="shared" si="1"/>
        <v>0</v>
      </c>
      <c r="S58" s="13" t="e">
        <f t="shared" si="2"/>
        <v>#DIV/0!</v>
      </c>
      <c r="T58" s="13" t="e">
        <f t="shared" si="3"/>
        <v>#DIV/0!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Reference!B265</f>
        <v>0</v>
      </c>
      <c r="E59" s="10">
        <f>Reference!C265</f>
        <v>0</v>
      </c>
      <c r="F59" s="10">
        <f>Reference!D265</f>
        <v>0</v>
      </c>
      <c r="G59" s="10">
        <f>Reference!E265</f>
        <v>0</v>
      </c>
      <c r="H59" s="10">
        <f>Reference!F265</f>
        <v>0</v>
      </c>
      <c r="I59" s="10">
        <f>Reference!G265</f>
        <v>0</v>
      </c>
      <c r="J59" s="11">
        <f t="shared" ref="J59:J90" si="4">H59/3600</f>
        <v>0</v>
      </c>
      <c r="L59" s="9">
        <f>Test!B265</f>
        <v>0</v>
      </c>
      <c r="M59" s="10">
        <f>Test!C265</f>
        <v>0</v>
      </c>
      <c r="N59" s="10">
        <f>Test!D265</f>
        <v>0</v>
      </c>
      <c r="O59" s="10">
        <f>Test!E265</f>
        <v>0</v>
      </c>
      <c r="P59" s="10">
        <f>Test!F265</f>
        <v>0</v>
      </c>
      <c r="Q59" s="10">
        <f>Test!G265</f>
        <v>0</v>
      </c>
      <c r="R59" s="11">
        <f t="shared" ref="R59:R90" si="5">P59/3600</f>
        <v>0</v>
      </c>
      <c r="S59" s="13" t="e">
        <f t="shared" ref="S59:S90" si="6">P59/H59</f>
        <v>#DIV/0!</v>
      </c>
      <c r="T59" s="13" t="e">
        <f t="shared" ref="T59:T90" si="7">Q59/I59</f>
        <v>#DIV/0!</v>
      </c>
      <c r="U59" s="48"/>
      <c r="V59" s="30" t="e">
        <f>bdrate($D59:$D62,E59:E62,$L59:$L62,M59:M62)</f>
        <v>#VALUE!</v>
      </c>
      <c r="W59" s="35" t="e">
        <f>bdrate($D59:$D62,F59:F62,$L59:$L62,N59:N62)</f>
        <v>#VALUE!</v>
      </c>
      <c r="X59" s="35" t="e">
        <f>bdrate($D59:$D62,G59:G62,$L59:$L62,O59:O62)</f>
        <v>#VALUE!</v>
      </c>
      <c r="Y59" s="33" t="e">
        <f>bdrateOld($D59:$D62,E59:E62,$L59:$L62,M59:M62)</f>
        <v>#VALUE!</v>
      </c>
      <c r="Z59" s="37" t="e">
        <f>bdrateOld($D59:$D62,F59:F62,$L59:$L62,N59:N62)</f>
        <v>#VALUE!</v>
      </c>
      <c r="AA59" s="38" t="e">
        <f>bdrateOld($D59:$D62,G59:G62,$L59:$L62,O59:O62)</f>
        <v>#VALUE!</v>
      </c>
    </row>
    <row r="60" spans="1:27" x14ac:dyDescent="0.2">
      <c r="A60" s="25"/>
      <c r="B60" s="25"/>
      <c r="C60" s="25">
        <v>27</v>
      </c>
      <c r="D60" s="12">
        <f>Reference!B266</f>
        <v>0</v>
      </c>
      <c r="E60" s="13">
        <f>Reference!C266</f>
        <v>0</v>
      </c>
      <c r="F60" s="13">
        <f>Reference!D266</f>
        <v>0</v>
      </c>
      <c r="G60" s="13">
        <f>Reference!E266</f>
        <v>0</v>
      </c>
      <c r="H60" s="13">
        <f>Reference!F266</f>
        <v>0</v>
      </c>
      <c r="I60" s="13">
        <f>Reference!G266</f>
        <v>0</v>
      </c>
      <c r="J60" s="14">
        <f t="shared" si="4"/>
        <v>0</v>
      </c>
      <c r="L60" s="12">
        <f>Test!B266</f>
        <v>0</v>
      </c>
      <c r="M60" s="13">
        <f>Test!C266</f>
        <v>0</v>
      </c>
      <c r="N60" s="13">
        <f>Test!D266</f>
        <v>0</v>
      </c>
      <c r="O60" s="13">
        <f>Test!E266</f>
        <v>0</v>
      </c>
      <c r="P60" s="13">
        <f>Test!F266</f>
        <v>0</v>
      </c>
      <c r="Q60" s="13">
        <f>Test!G266</f>
        <v>0</v>
      </c>
      <c r="R60" s="14">
        <f t="shared" si="5"/>
        <v>0</v>
      </c>
      <c r="S60" s="13" t="e">
        <f t="shared" si="6"/>
        <v>#DIV/0!</v>
      </c>
      <c r="T60" s="13" t="e">
        <f t="shared" si="7"/>
        <v>#DIV/0!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Reference!B267</f>
        <v>0</v>
      </c>
      <c r="E61" s="13">
        <f>Reference!C267</f>
        <v>0</v>
      </c>
      <c r="F61" s="13">
        <f>Reference!D267</f>
        <v>0</v>
      </c>
      <c r="G61" s="13">
        <f>Reference!E267</f>
        <v>0</v>
      </c>
      <c r="H61" s="13">
        <f>Reference!F267</f>
        <v>0</v>
      </c>
      <c r="I61" s="13">
        <f>Reference!G267</f>
        <v>0</v>
      </c>
      <c r="J61" s="14">
        <f t="shared" si="4"/>
        <v>0</v>
      </c>
      <c r="L61" s="12">
        <f>Test!B267</f>
        <v>0</v>
      </c>
      <c r="M61" s="13">
        <f>Test!C267</f>
        <v>0</v>
      </c>
      <c r="N61" s="13">
        <f>Test!D267</f>
        <v>0</v>
      </c>
      <c r="O61" s="13">
        <f>Test!E267</f>
        <v>0</v>
      </c>
      <c r="P61" s="13">
        <f>Test!F267</f>
        <v>0</v>
      </c>
      <c r="Q61" s="13">
        <f>Test!G267</f>
        <v>0</v>
      </c>
      <c r="R61" s="14">
        <f t="shared" si="5"/>
        <v>0</v>
      </c>
      <c r="S61" s="13" t="e">
        <f t="shared" si="6"/>
        <v>#DIV/0!</v>
      </c>
      <c r="T61" s="13" t="e">
        <f t="shared" si="7"/>
        <v>#DIV/0!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Reference!B268</f>
        <v>0</v>
      </c>
      <c r="E62" s="17">
        <f>Reference!C268</f>
        <v>0</v>
      </c>
      <c r="F62" s="17">
        <f>Reference!D268</f>
        <v>0</v>
      </c>
      <c r="G62" s="17">
        <f>Reference!E268</f>
        <v>0</v>
      </c>
      <c r="H62" s="17">
        <f>Reference!F268</f>
        <v>0</v>
      </c>
      <c r="I62" s="17">
        <f>Reference!G268</f>
        <v>0</v>
      </c>
      <c r="J62" s="18">
        <f t="shared" si="4"/>
        <v>0</v>
      </c>
      <c r="L62" s="16">
        <f>Test!B268</f>
        <v>0</v>
      </c>
      <c r="M62" s="17">
        <f>Test!C268</f>
        <v>0</v>
      </c>
      <c r="N62" s="17">
        <f>Test!D268</f>
        <v>0</v>
      </c>
      <c r="O62" s="17">
        <f>Test!E268</f>
        <v>0</v>
      </c>
      <c r="P62" s="17">
        <f>Test!F268</f>
        <v>0</v>
      </c>
      <c r="Q62" s="17">
        <f>Test!G268</f>
        <v>0</v>
      </c>
      <c r="R62" s="18">
        <f t="shared" si="5"/>
        <v>0</v>
      </c>
      <c r="S62" s="17" t="e">
        <f t="shared" si="6"/>
        <v>#DIV/0!</v>
      </c>
      <c r="T62" s="17" t="e">
        <f t="shared" si="7"/>
        <v>#DIV/0!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Reference!B269</f>
        <v>0</v>
      </c>
      <c r="E63" s="10">
        <f>Reference!C269</f>
        <v>0</v>
      </c>
      <c r="F63" s="10">
        <f>Reference!D269</f>
        <v>0</v>
      </c>
      <c r="G63" s="10">
        <f>Reference!E269</f>
        <v>0</v>
      </c>
      <c r="H63" s="10">
        <f>Reference!F269</f>
        <v>0</v>
      </c>
      <c r="I63" s="10">
        <f>Reference!G269</f>
        <v>0</v>
      </c>
      <c r="J63" s="11">
        <f t="shared" si="4"/>
        <v>0</v>
      </c>
      <c r="L63" s="9">
        <f>Test!B269</f>
        <v>0</v>
      </c>
      <c r="M63" s="10">
        <f>Test!C269</f>
        <v>0</v>
      </c>
      <c r="N63" s="10">
        <f>Test!D269</f>
        <v>0</v>
      </c>
      <c r="O63" s="10">
        <f>Test!E269</f>
        <v>0</v>
      </c>
      <c r="P63" s="10">
        <f>Test!F269</f>
        <v>0</v>
      </c>
      <c r="Q63" s="10">
        <f>Test!G269</f>
        <v>0</v>
      </c>
      <c r="R63" s="11">
        <f t="shared" si="5"/>
        <v>0</v>
      </c>
      <c r="S63" s="10" t="e">
        <f t="shared" si="6"/>
        <v>#DIV/0!</v>
      </c>
      <c r="T63" s="10" t="e">
        <f t="shared" si="7"/>
        <v>#DIV/0!</v>
      </c>
      <c r="U63" s="47"/>
      <c r="V63" s="30" t="e">
        <f>bdrate($D63:$D66,E63:E66,$L63:$L66,M63:M66)</f>
        <v>#VALUE!</v>
      </c>
      <c r="W63" s="35" t="e">
        <f>bdrate($D63:$D66,F63:F66,$L63:$L66,N63:N66)</f>
        <v>#VALUE!</v>
      </c>
      <c r="X63" s="36" t="e">
        <f>bdrate($D63:$D66,G63:G66,$L63:$L66,O63:O66)</f>
        <v>#VALUE!</v>
      </c>
      <c r="Y63" s="30" t="e">
        <f>bdrateOld($D63:$D66,E63:E66,$L63:$L66,M63:M66)</f>
        <v>#VALUE!</v>
      </c>
      <c r="Z63" s="35" t="e">
        <f>bdrateOld($D63:$D66,F63:F66,$L63:$L66,N63:N66)</f>
        <v>#VALUE!</v>
      </c>
      <c r="AA63" s="36" t="e">
        <f>bdrateOld($D63:$D66,G63:G66,$L63:$L66,O63:O66)</f>
        <v>#VALUE!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Reference!B270</f>
        <v>0</v>
      </c>
      <c r="E64" s="13">
        <f>Reference!C270</f>
        <v>0</v>
      </c>
      <c r="F64" s="13">
        <f>Reference!D270</f>
        <v>0</v>
      </c>
      <c r="G64" s="13">
        <f>Reference!E270</f>
        <v>0</v>
      </c>
      <c r="H64" s="13">
        <f>Reference!F270</f>
        <v>0</v>
      </c>
      <c r="I64" s="13">
        <f>Reference!G270</f>
        <v>0</v>
      </c>
      <c r="J64" s="14">
        <f t="shared" si="4"/>
        <v>0</v>
      </c>
      <c r="L64" s="12">
        <f>Test!B270</f>
        <v>0</v>
      </c>
      <c r="M64" s="13">
        <f>Test!C270</f>
        <v>0</v>
      </c>
      <c r="N64" s="13">
        <f>Test!D270</f>
        <v>0</v>
      </c>
      <c r="O64" s="13">
        <f>Test!E270</f>
        <v>0</v>
      </c>
      <c r="P64" s="13">
        <f>Test!F270</f>
        <v>0</v>
      </c>
      <c r="Q64" s="13">
        <f>Test!G270</f>
        <v>0</v>
      </c>
      <c r="R64" s="14">
        <f t="shared" si="5"/>
        <v>0</v>
      </c>
      <c r="S64" s="13" t="e">
        <f t="shared" si="6"/>
        <v>#DIV/0!</v>
      </c>
      <c r="T64" s="13" t="e">
        <f t="shared" si="7"/>
        <v>#DIV/0!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Reference!B271</f>
        <v>0</v>
      </c>
      <c r="E65" s="13">
        <f>Reference!C271</f>
        <v>0</v>
      </c>
      <c r="F65" s="13">
        <f>Reference!D271</f>
        <v>0</v>
      </c>
      <c r="G65" s="13">
        <f>Reference!E271</f>
        <v>0</v>
      </c>
      <c r="H65" s="13">
        <f>Reference!F271</f>
        <v>0</v>
      </c>
      <c r="I65" s="13">
        <f>Reference!G271</f>
        <v>0</v>
      </c>
      <c r="J65" s="14">
        <f t="shared" si="4"/>
        <v>0</v>
      </c>
      <c r="L65" s="12">
        <f>Test!B271</f>
        <v>0</v>
      </c>
      <c r="M65" s="13">
        <f>Test!C271</f>
        <v>0</v>
      </c>
      <c r="N65" s="13">
        <f>Test!D271</f>
        <v>0</v>
      </c>
      <c r="O65" s="13">
        <f>Test!E271</f>
        <v>0</v>
      </c>
      <c r="P65" s="13">
        <f>Test!F271</f>
        <v>0</v>
      </c>
      <c r="Q65" s="13">
        <f>Test!G271</f>
        <v>0</v>
      </c>
      <c r="R65" s="14">
        <f t="shared" si="5"/>
        <v>0</v>
      </c>
      <c r="S65" s="13" t="e">
        <f t="shared" si="6"/>
        <v>#DIV/0!</v>
      </c>
      <c r="T65" s="13" t="e">
        <f t="shared" si="7"/>
        <v>#DIV/0!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Reference!B272</f>
        <v>0</v>
      </c>
      <c r="E66" s="17">
        <f>Reference!C272</f>
        <v>0</v>
      </c>
      <c r="F66" s="17">
        <f>Reference!D272</f>
        <v>0</v>
      </c>
      <c r="G66" s="17">
        <f>Reference!E272</f>
        <v>0</v>
      </c>
      <c r="H66" s="17">
        <f>Reference!F272</f>
        <v>0</v>
      </c>
      <c r="I66" s="17">
        <f>Reference!G272</f>
        <v>0</v>
      </c>
      <c r="J66" s="18">
        <f t="shared" si="4"/>
        <v>0</v>
      </c>
      <c r="L66" s="16">
        <f>Test!B272</f>
        <v>0</v>
      </c>
      <c r="M66" s="17">
        <f>Test!C272</f>
        <v>0</v>
      </c>
      <c r="N66" s="17">
        <f>Test!D272</f>
        <v>0</v>
      </c>
      <c r="O66" s="17">
        <f>Test!E272</f>
        <v>0</v>
      </c>
      <c r="P66" s="17">
        <f>Test!F272</f>
        <v>0</v>
      </c>
      <c r="Q66" s="17">
        <f>Test!G272</f>
        <v>0</v>
      </c>
      <c r="R66" s="18">
        <f t="shared" si="5"/>
        <v>0</v>
      </c>
      <c r="S66" s="13" t="e">
        <f t="shared" si="6"/>
        <v>#DIV/0!</v>
      </c>
      <c r="T66" s="13" t="e">
        <f t="shared" si="7"/>
        <v>#DIV/0!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Reference!B273</f>
        <v>0</v>
      </c>
      <c r="E67" s="10">
        <f>Reference!C273</f>
        <v>0</v>
      </c>
      <c r="F67" s="10">
        <f>Reference!D273</f>
        <v>0</v>
      </c>
      <c r="G67" s="10">
        <f>Reference!E273</f>
        <v>0</v>
      </c>
      <c r="H67" s="10">
        <f>Reference!F273</f>
        <v>0</v>
      </c>
      <c r="I67" s="10">
        <f>Reference!G273</f>
        <v>0</v>
      </c>
      <c r="J67" s="11">
        <f t="shared" si="4"/>
        <v>0</v>
      </c>
      <c r="L67" s="9">
        <f>Test!B273</f>
        <v>0</v>
      </c>
      <c r="M67" s="10">
        <f>Test!C273</f>
        <v>0</v>
      </c>
      <c r="N67" s="10">
        <f>Test!D273</f>
        <v>0</v>
      </c>
      <c r="O67" s="10">
        <f>Test!E273</f>
        <v>0</v>
      </c>
      <c r="P67" s="10">
        <f>Test!F273</f>
        <v>0</v>
      </c>
      <c r="Q67" s="10">
        <f>Test!G273</f>
        <v>0</v>
      </c>
      <c r="R67" s="11">
        <f t="shared" si="5"/>
        <v>0</v>
      </c>
      <c r="S67" s="13" t="e">
        <f t="shared" si="6"/>
        <v>#DIV/0!</v>
      </c>
      <c r="T67" s="13" t="e">
        <f t="shared" si="7"/>
        <v>#DIV/0!</v>
      </c>
      <c r="U67" s="48"/>
      <c r="V67" s="30" t="e">
        <f>bdrate($D67:$D70,E67:E70,$L67:$L70,M67:M70)</f>
        <v>#VALUE!</v>
      </c>
      <c r="W67" s="35" t="e">
        <f>bdrate($D67:$D70,F67:F70,$L67:$L70,N67:N70)</f>
        <v>#VALUE!</v>
      </c>
      <c r="X67" s="35" t="e">
        <f>bdrate($D67:$D70,G67:G70,$L67:$L70,O67:O70)</f>
        <v>#VALUE!</v>
      </c>
      <c r="Y67" s="33" t="e">
        <f>bdrateOld($D67:$D70,E67:E70,$L67:$L70,M67:M70)</f>
        <v>#VALUE!</v>
      </c>
      <c r="Z67" s="37" t="e">
        <f>bdrateOld($D67:$D70,F67:F70,$L67:$L70,N67:N70)</f>
        <v>#VALUE!</v>
      </c>
      <c r="AA67" s="38" t="e">
        <f>bdrateOld($D67:$D70,G67:G70,$L67:$L70,O67:O70)</f>
        <v>#VALUE!</v>
      </c>
    </row>
    <row r="68" spans="1:27" x14ac:dyDescent="0.2">
      <c r="A68" s="25"/>
      <c r="B68" s="25"/>
      <c r="C68" s="25">
        <v>27</v>
      </c>
      <c r="D68" s="12">
        <f>Reference!B274</f>
        <v>0</v>
      </c>
      <c r="E68" s="13">
        <f>Reference!C274</f>
        <v>0</v>
      </c>
      <c r="F68" s="13">
        <f>Reference!D274</f>
        <v>0</v>
      </c>
      <c r="G68" s="13">
        <f>Reference!E274</f>
        <v>0</v>
      </c>
      <c r="H68" s="13">
        <f>Reference!F274</f>
        <v>0</v>
      </c>
      <c r="I68" s="13">
        <f>Reference!G274</f>
        <v>0</v>
      </c>
      <c r="J68" s="14">
        <f t="shared" si="4"/>
        <v>0</v>
      </c>
      <c r="L68" s="12">
        <f>Test!B274</f>
        <v>0</v>
      </c>
      <c r="M68" s="13">
        <f>Test!C274</f>
        <v>0</v>
      </c>
      <c r="N68" s="13">
        <f>Test!D274</f>
        <v>0</v>
      </c>
      <c r="O68" s="13">
        <f>Test!E274</f>
        <v>0</v>
      </c>
      <c r="P68" s="13">
        <f>Test!F274</f>
        <v>0</v>
      </c>
      <c r="Q68" s="13">
        <f>Test!G274</f>
        <v>0</v>
      </c>
      <c r="R68" s="14">
        <f t="shared" si="5"/>
        <v>0</v>
      </c>
      <c r="S68" s="13" t="e">
        <f t="shared" si="6"/>
        <v>#DIV/0!</v>
      </c>
      <c r="T68" s="13" t="e">
        <f t="shared" si="7"/>
        <v>#DIV/0!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Reference!B275</f>
        <v>0</v>
      </c>
      <c r="E69" s="13">
        <f>Reference!C275</f>
        <v>0</v>
      </c>
      <c r="F69" s="13">
        <f>Reference!D275</f>
        <v>0</v>
      </c>
      <c r="G69" s="13">
        <f>Reference!E275</f>
        <v>0</v>
      </c>
      <c r="H69" s="13">
        <f>Reference!F275</f>
        <v>0</v>
      </c>
      <c r="I69" s="13">
        <f>Reference!G275</f>
        <v>0</v>
      </c>
      <c r="J69" s="14">
        <f t="shared" si="4"/>
        <v>0</v>
      </c>
      <c r="L69" s="12">
        <f>Test!B275</f>
        <v>0</v>
      </c>
      <c r="M69" s="13">
        <f>Test!C275</f>
        <v>0</v>
      </c>
      <c r="N69" s="13">
        <f>Test!D275</f>
        <v>0</v>
      </c>
      <c r="O69" s="13">
        <f>Test!E275</f>
        <v>0</v>
      </c>
      <c r="P69" s="13">
        <f>Test!F275</f>
        <v>0</v>
      </c>
      <c r="Q69" s="13">
        <f>Test!G275</f>
        <v>0</v>
      </c>
      <c r="R69" s="14">
        <f t="shared" si="5"/>
        <v>0</v>
      </c>
      <c r="S69" s="13" t="e">
        <f t="shared" si="6"/>
        <v>#DIV/0!</v>
      </c>
      <c r="T69" s="13" t="e">
        <f t="shared" si="7"/>
        <v>#DIV/0!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Reference!B276</f>
        <v>0</v>
      </c>
      <c r="E70" s="17">
        <f>Reference!C276</f>
        <v>0</v>
      </c>
      <c r="F70" s="17">
        <f>Reference!D276</f>
        <v>0</v>
      </c>
      <c r="G70" s="17">
        <f>Reference!E276</f>
        <v>0</v>
      </c>
      <c r="H70" s="17">
        <f>Reference!F276</f>
        <v>0</v>
      </c>
      <c r="I70" s="17">
        <f>Reference!G276</f>
        <v>0</v>
      </c>
      <c r="J70" s="18">
        <f t="shared" si="4"/>
        <v>0</v>
      </c>
      <c r="L70" s="16">
        <f>Test!B276</f>
        <v>0</v>
      </c>
      <c r="M70" s="17">
        <f>Test!C276</f>
        <v>0</v>
      </c>
      <c r="N70" s="17">
        <f>Test!D276</f>
        <v>0</v>
      </c>
      <c r="O70" s="17">
        <f>Test!E276</f>
        <v>0</v>
      </c>
      <c r="P70" s="17">
        <f>Test!F276</f>
        <v>0</v>
      </c>
      <c r="Q70" s="17">
        <f>Test!G276</f>
        <v>0</v>
      </c>
      <c r="R70" s="18">
        <f t="shared" si="5"/>
        <v>0</v>
      </c>
      <c r="S70" s="13" t="e">
        <f t="shared" si="6"/>
        <v>#DIV/0!</v>
      </c>
      <c r="T70" s="13" t="e">
        <f t="shared" si="7"/>
        <v>#DIV/0!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Reference!B277</f>
        <v>0</v>
      </c>
      <c r="E71" s="10">
        <f>Reference!C277</f>
        <v>0</v>
      </c>
      <c r="F71" s="10">
        <f>Reference!D277</f>
        <v>0</v>
      </c>
      <c r="G71" s="10">
        <f>Reference!E277</f>
        <v>0</v>
      </c>
      <c r="H71" s="10">
        <f>Reference!F277</f>
        <v>0</v>
      </c>
      <c r="I71" s="10">
        <f>Reference!G277</f>
        <v>0</v>
      </c>
      <c r="J71" s="11">
        <f t="shared" si="4"/>
        <v>0</v>
      </c>
      <c r="L71" s="9">
        <f>Test!B277</f>
        <v>0</v>
      </c>
      <c r="M71" s="10">
        <f>Test!C277</f>
        <v>0</v>
      </c>
      <c r="N71" s="10">
        <f>Test!D277</f>
        <v>0</v>
      </c>
      <c r="O71" s="10">
        <f>Test!E277</f>
        <v>0</v>
      </c>
      <c r="P71" s="10">
        <f>Test!F277</f>
        <v>0</v>
      </c>
      <c r="Q71" s="10">
        <f>Test!G277</f>
        <v>0</v>
      </c>
      <c r="R71" s="11">
        <f t="shared" si="5"/>
        <v>0</v>
      </c>
      <c r="S71" s="13" t="e">
        <f t="shared" si="6"/>
        <v>#DIV/0!</v>
      </c>
      <c r="T71" s="13" t="e">
        <f t="shared" si="7"/>
        <v>#DIV/0!</v>
      </c>
      <c r="U71" s="48"/>
      <c r="V71" s="30" t="e">
        <f>bdrate($D71:$D74,E71:E74,$L71:$L74,M71:M74)</f>
        <v>#VALUE!</v>
      </c>
      <c r="W71" s="35" t="e">
        <f>bdrate($D71:$D74,F71:F74,$L71:$L74,N71:N74)</f>
        <v>#VALUE!</v>
      </c>
      <c r="X71" s="35" t="e">
        <f>bdrate($D71:$D74,G71:G74,$L71:$L74,O71:O74)</f>
        <v>#VALUE!</v>
      </c>
      <c r="Y71" s="33" t="e">
        <f>bdrateOld($D71:$D74,E71:E74,$L71:$L74,M71:M74)</f>
        <v>#VALUE!</v>
      </c>
      <c r="Z71" s="37" t="e">
        <f>bdrateOld($D71:$D74,F71:F74,$L71:$L74,N71:N74)</f>
        <v>#VALUE!</v>
      </c>
      <c r="AA71" s="38" t="e">
        <f>bdrateOld($D71:$D74,G71:G74,$L71:$L74,O71:O74)</f>
        <v>#VALUE!</v>
      </c>
    </row>
    <row r="72" spans="1:27" x14ac:dyDescent="0.2">
      <c r="A72" s="25"/>
      <c r="B72" s="25"/>
      <c r="C72" s="25">
        <v>27</v>
      </c>
      <c r="D72" s="12">
        <f>Reference!B278</f>
        <v>0</v>
      </c>
      <c r="E72" s="13">
        <f>Reference!C278</f>
        <v>0</v>
      </c>
      <c r="F72" s="13">
        <f>Reference!D278</f>
        <v>0</v>
      </c>
      <c r="G72" s="13">
        <f>Reference!E278</f>
        <v>0</v>
      </c>
      <c r="H72" s="13">
        <f>Reference!F278</f>
        <v>0</v>
      </c>
      <c r="I72" s="13">
        <f>Reference!G278</f>
        <v>0</v>
      </c>
      <c r="J72" s="14">
        <f t="shared" si="4"/>
        <v>0</v>
      </c>
      <c r="L72" s="12">
        <f>Test!B278</f>
        <v>0</v>
      </c>
      <c r="M72" s="13">
        <f>Test!C278</f>
        <v>0</v>
      </c>
      <c r="N72" s="13">
        <f>Test!D278</f>
        <v>0</v>
      </c>
      <c r="O72" s="13">
        <f>Test!E278</f>
        <v>0</v>
      </c>
      <c r="P72" s="13">
        <f>Test!F278</f>
        <v>0</v>
      </c>
      <c r="Q72" s="13">
        <f>Test!G278</f>
        <v>0</v>
      </c>
      <c r="R72" s="14">
        <f t="shared" si="5"/>
        <v>0</v>
      </c>
      <c r="S72" s="13" t="e">
        <f t="shared" si="6"/>
        <v>#DIV/0!</v>
      </c>
      <c r="T72" s="13" t="e">
        <f t="shared" si="7"/>
        <v>#DIV/0!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Reference!B279</f>
        <v>0</v>
      </c>
      <c r="E73" s="13">
        <f>Reference!C279</f>
        <v>0</v>
      </c>
      <c r="F73" s="13">
        <f>Reference!D279</f>
        <v>0</v>
      </c>
      <c r="G73" s="13">
        <f>Reference!E279</f>
        <v>0</v>
      </c>
      <c r="H73" s="13">
        <f>Reference!F279</f>
        <v>0</v>
      </c>
      <c r="I73" s="13">
        <f>Reference!G279</f>
        <v>0</v>
      </c>
      <c r="J73" s="14">
        <f t="shared" si="4"/>
        <v>0</v>
      </c>
      <c r="L73" s="12">
        <f>Test!B279</f>
        <v>0</v>
      </c>
      <c r="M73" s="13">
        <f>Test!C279</f>
        <v>0</v>
      </c>
      <c r="N73" s="13">
        <f>Test!D279</f>
        <v>0</v>
      </c>
      <c r="O73" s="13">
        <f>Test!E279</f>
        <v>0</v>
      </c>
      <c r="P73" s="13">
        <f>Test!F279</f>
        <v>0</v>
      </c>
      <c r="Q73" s="13">
        <f>Test!G279</f>
        <v>0</v>
      </c>
      <c r="R73" s="14">
        <f t="shared" si="5"/>
        <v>0</v>
      </c>
      <c r="S73" s="13" t="e">
        <f t="shared" si="6"/>
        <v>#DIV/0!</v>
      </c>
      <c r="T73" s="13" t="e">
        <f t="shared" si="7"/>
        <v>#DIV/0!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Reference!B280</f>
        <v>0</v>
      </c>
      <c r="E74" s="17">
        <f>Reference!C280</f>
        <v>0</v>
      </c>
      <c r="F74" s="17">
        <f>Reference!D280</f>
        <v>0</v>
      </c>
      <c r="G74" s="17">
        <f>Reference!E280</f>
        <v>0</v>
      </c>
      <c r="H74" s="17">
        <f>Reference!F280</f>
        <v>0</v>
      </c>
      <c r="I74" s="17">
        <f>Reference!G280</f>
        <v>0</v>
      </c>
      <c r="J74" s="18">
        <f t="shared" si="4"/>
        <v>0</v>
      </c>
      <c r="L74" s="16">
        <f>Test!B280</f>
        <v>0</v>
      </c>
      <c r="M74" s="17">
        <f>Test!C280</f>
        <v>0</v>
      </c>
      <c r="N74" s="17">
        <f>Test!D280</f>
        <v>0</v>
      </c>
      <c r="O74" s="17">
        <f>Test!E280</f>
        <v>0</v>
      </c>
      <c r="P74" s="17">
        <f>Test!F280</f>
        <v>0</v>
      </c>
      <c r="Q74" s="17">
        <f>Test!G280</f>
        <v>0</v>
      </c>
      <c r="R74" s="18">
        <f t="shared" si="5"/>
        <v>0</v>
      </c>
      <c r="S74" s="13" t="e">
        <f t="shared" si="6"/>
        <v>#DIV/0!</v>
      </c>
      <c r="T74" s="13" t="e">
        <f t="shared" si="7"/>
        <v>#DIV/0!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Reference!B281</f>
        <v>0</v>
      </c>
      <c r="E75" s="10">
        <f>Reference!C281</f>
        <v>0</v>
      </c>
      <c r="F75" s="10">
        <f>Reference!D281</f>
        <v>0</v>
      </c>
      <c r="G75" s="10">
        <f>Reference!E281</f>
        <v>0</v>
      </c>
      <c r="H75" s="10">
        <f>Reference!F281</f>
        <v>0</v>
      </c>
      <c r="I75" s="10">
        <f>Reference!G281</f>
        <v>0</v>
      </c>
      <c r="J75" s="11">
        <f t="shared" si="4"/>
        <v>0</v>
      </c>
      <c r="L75" s="9">
        <f>Test!B281</f>
        <v>0</v>
      </c>
      <c r="M75" s="10">
        <f>Test!C281</f>
        <v>0</v>
      </c>
      <c r="N75" s="10">
        <f>Test!D281</f>
        <v>0</v>
      </c>
      <c r="O75" s="10">
        <f>Test!E281</f>
        <v>0</v>
      </c>
      <c r="P75" s="10">
        <f>Test!F281</f>
        <v>0</v>
      </c>
      <c r="Q75" s="10">
        <f>Test!G281</f>
        <v>0</v>
      </c>
      <c r="R75" s="11">
        <f t="shared" si="5"/>
        <v>0</v>
      </c>
      <c r="S75" s="13" t="e">
        <f t="shared" si="6"/>
        <v>#DIV/0!</v>
      </c>
      <c r="T75" s="13" t="e">
        <f t="shared" si="7"/>
        <v>#DIV/0!</v>
      </c>
      <c r="U75" s="48"/>
      <c r="V75" s="30" t="e">
        <f>bdrate($D75:$D78,E75:E78,$L75:$L78,M75:M78)</f>
        <v>#VALUE!</v>
      </c>
      <c r="W75" s="35" t="e">
        <f>bdrate($D75:$D78,F75:F78,$L75:$L78,N75:N78)</f>
        <v>#VALUE!</v>
      </c>
      <c r="X75" s="35" t="e">
        <f>bdrate($D75:$D78,G75:G78,$L75:$L78,O75:O78)</f>
        <v>#VALUE!</v>
      </c>
      <c r="Y75" s="33" t="e">
        <f>bdrateOld($D75:$D78,E75:E78,$L75:$L78,M75:M78)</f>
        <v>#VALUE!</v>
      </c>
      <c r="Z75" s="37" t="e">
        <f>bdrateOld($D75:$D78,F75:F78,$L75:$L78,N75:N78)</f>
        <v>#VALUE!</v>
      </c>
      <c r="AA75" s="38" t="e">
        <f>bdrateOld($D75:$D78,G75:G78,$L75:$L78,O75:O78)</f>
        <v>#VALUE!</v>
      </c>
    </row>
    <row r="76" spans="1:27" x14ac:dyDescent="0.2">
      <c r="A76" s="25"/>
      <c r="B76" s="25"/>
      <c r="C76" s="25">
        <v>27</v>
      </c>
      <c r="D76" s="12">
        <f>Reference!B282</f>
        <v>0</v>
      </c>
      <c r="E76" s="13">
        <f>Reference!C282</f>
        <v>0</v>
      </c>
      <c r="F76" s="13">
        <f>Reference!D282</f>
        <v>0</v>
      </c>
      <c r="G76" s="13">
        <f>Reference!E282</f>
        <v>0</v>
      </c>
      <c r="H76" s="13">
        <f>Reference!F282</f>
        <v>0</v>
      </c>
      <c r="I76" s="13">
        <f>Reference!G282</f>
        <v>0</v>
      </c>
      <c r="J76" s="14">
        <f t="shared" si="4"/>
        <v>0</v>
      </c>
      <c r="L76" s="12">
        <f>Test!B282</f>
        <v>0</v>
      </c>
      <c r="M76" s="13">
        <f>Test!C282</f>
        <v>0</v>
      </c>
      <c r="N76" s="13">
        <f>Test!D282</f>
        <v>0</v>
      </c>
      <c r="O76" s="13">
        <f>Test!E282</f>
        <v>0</v>
      </c>
      <c r="P76" s="13">
        <f>Test!F282</f>
        <v>0</v>
      </c>
      <c r="Q76" s="13">
        <f>Test!G282</f>
        <v>0</v>
      </c>
      <c r="R76" s="14">
        <f t="shared" si="5"/>
        <v>0</v>
      </c>
      <c r="S76" s="13" t="e">
        <f t="shared" si="6"/>
        <v>#DIV/0!</v>
      </c>
      <c r="T76" s="13" t="e">
        <f t="shared" si="7"/>
        <v>#DIV/0!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Reference!B283</f>
        <v>0</v>
      </c>
      <c r="E77" s="13">
        <f>Reference!C283</f>
        <v>0</v>
      </c>
      <c r="F77" s="13">
        <f>Reference!D283</f>
        <v>0</v>
      </c>
      <c r="G77" s="13">
        <f>Reference!E283</f>
        <v>0</v>
      </c>
      <c r="H77" s="13">
        <f>Reference!F283</f>
        <v>0</v>
      </c>
      <c r="I77" s="13">
        <f>Reference!G283</f>
        <v>0</v>
      </c>
      <c r="J77" s="14">
        <f t="shared" si="4"/>
        <v>0</v>
      </c>
      <c r="L77" s="12">
        <f>Test!B283</f>
        <v>0</v>
      </c>
      <c r="M77" s="13">
        <f>Test!C283</f>
        <v>0</v>
      </c>
      <c r="N77" s="13">
        <f>Test!D283</f>
        <v>0</v>
      </c>
      <c r="O77" s="13">
        <f>Test!E283</f>
        <v>0</v>
      </c>
      <c r="P77" s="13">
        <f>Test!F283</f>
        <v>0</v>
      </c>
      <c r="Q77" s="13">
        <f>Test!G283</f>
        <v>0</v>
      </c>
      <c r="R77" s="14">
        <f t="shared" si="5"/>
        <v>0</v>
      </c>
      <c r="S77" s="13" t="e">
        <f t="shared" si="6"/>
        <v>#DIV/0!</v>
      </c>
      <c r="T77" s="13" t="e">
        <f t="shared" si="7"/>
        <v>#DIV/0!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Reference!B284</f>
        <v>0</v>
      </c>
      <c r="E78" s="17">
        <f>Reference!C284</f>
        <v>0</v>
      </c>
      <c r="F78" s="17">
        <f>Reference!D284</f>
        <v>0</v>
      </c>
      <c r="G78" s="17">
        <f>Reference!E284</f>
        <v>0</v>
      </c>
      <c r="H78" s="17">
        <f>Reference!F284</f>
        <v>0</v>
      </c>
      <c r="I78" s="17">
        <f>Reference!G284</f>
        <v>0</v>
      </c>
      <c r="J78" s="18">
        <f t="shared" si="4"/>
        <v>0</v>
      </c>
      <c r="L78" s="16">
        <f>Test!B284</f>
        <v>0</v>
      </c>
      <c r="M78" s="17">
        <f>Test!C284</f>
        <v>0</v>
      </c>
      <c r="N78" s="17">
        <f>Test!D284</f>
        <v>0</v>
      </c>
      <c r="O78" s="17">
        <f>Test!E284</f>
        <v>0</v>
      </c>
      <c r="P78" s="17">
        <f>Test!F284</f>
        <v>0</v>
      </c>
      <c r="Q78" s="17">
        <f>Test!G284</f>
        <v>0</v>
      </c>
      <c r="R78" s="18">
        <f t="shared" si="5"/>
        <v>0</v>
      </c>
      <c r="S78" s="17" t="e">
        <f t="shared" si="6"/>
        <v>#DIV/0!</v>
      </c>
      <c r="T78" s="17" t="e">
        <f t="shared" si="7"/>
        <v>#DIV/0!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>
        <f>Reference!B285</f>
        <v>0</v>
      </c>
      <c r="E79" s="10">
        <f>Reference!C285</f>
        <v>0</v>
      </c>
      <c r="F79" s="10">
        <f>Reference!D285</f>
        <v>0</v>
      </c>
      <c r="G79" s="10">
        <f>Reference!E285</f>
        <v>0</v>
      </c>
      <c r="H79" s="10">
        <f>Reference!F285</f>
        <v>0</v>
      </c>
      <c r="I79" s="10">
        <f>Reference!G285</f>
        <v>0</v>
      </c>
      <c r="J79" s="11">
        <f t="shared" si="4"/>
        <v>0</v>
      </c>
      <c r="L79" s="9">
        <f>Test!B285</f>
        <v>0</v>
      </c>
      <c r="M79" s="10">
        <f>Test!C285</f>
        <v>0</v>
      </c>
      <c r="N79" s="10">
        <f>Test!D285</f>
        <v>0</v>
      </c>
      <c r="O79" s="10">
        <f>Test!E285</f>
        <v>0</v>
      </c>
      <c r="P79" s="10">
        <f>Test!F285</f>
        <v>0</v>
      </c>
      <c r="Q79" s="10">
        <f>Test!G285</f>
        <v>0</v>
      </c>
      <c r="R79" s="11">
        <f t="shared" si="5"/>
        <v>0</v>
      </c>
      <c r="S79" s="10" t="e">
        <f t="shared" si="6"/>
        <v>#DIV/0!</v>
      </c>
      <c r="T79" s="10" t="e">
        <f t="shared" si="7"/>
        <v>#DIV/0!</v>
      </c>
      <c r="U79" s="47"/>
      <c r="V79" s="30" t="e">
        <f>bdrate($D79:$D82,E79:E82,$L79:$L82,M79:M82)</f>
        <v>#VALUE!</v>
      </c>
      <c r="W79" s="35" t="e">
        <f>bdrate($D79:$D82,F79:F82,$L79:$L82,N79:N82)</f>
        <v>#VALUE!</v>
      </c>
      <c r="X79" s="36" t="e">
        <f>bdrate($D79:$D82,G79:G82,$L79:$L82,O79:O82)</f>
        <v>#VALUE!</v>
      </c>
      <c r="Y79" s="30" t="e">
        <f>bdrateOld($D79:$D82,E79:E82,$L79:$L82,M79:M82)</f>
        <v>#VALUE!</v>
      </c>
      <c r="Z79" s="35" t="e">
        <f>bdrateOld($D79:$D82,F79:F82,$L79:$L82,N79:N82)</f>
        <v>#VALUE!</v>
      </c>
      <c r="AA79" s="36" t="e">
        <f>bdrateOld($D79:$D82,G79:G82,$L79:$L82,O79:O82)</f>
        <v>#VALUE!</v>
      </c>
    </row>
    <row r="80" spans="1:27" x14ac:dyDescent="0.2">
      <c r="A80" s="25" t="s">
        <v>75</v>
      </c>
      <c r="B80" s="25"/>
      <c r="C80" s="25">
        <v>27</v>
      </c>
      <c r="D80" s="12">
        <f>Reference!B286</f>
        <v>0</v>
      </c>
      <c r="E80" s="13">
        <f>Reference!C286</f>
        <v>0</v>
      </c>
      <c r="F80" s="13">
        <f>Reference!D286</f>
        <v>0</v>
      </c>
      <c r="G80" s="13">
        <f>Reference!E286</f>
        <v>0</v>
      </c>
      <c r="H80" s="13">
        <f>Reference!F286</f>
        <v>0</v>
      </c>
      <c r="I80" s="13">
        <f>Reference!G286</f>
        <v>0</v>
      </c>
      <c r="J80" s="14">
        <f t="shared" si="4"/>
        <v>0</v>
      </c>
      <c r="L80" s="12">
        <f>Test!B286</f>
        <v>0</v>
      </c>
      <c r="M80" s="13">
        <f>Test!C286</f>
        <v>0</v>
      </c>
      <c r="N80" s="13">
        <f>Test!D286</f>
        <v>0</v>
      </c>
      <c r="O80" s="13">
        <f>Test!E286</f>
        <v>0</v>
      </c>
      <c r="P80" s="13">
        <f>Test!F286</f>
        <v>0</v>
      </c>
      <c r="Q80" s="13">
        <f>Test!G286</f>
        <v>0</v>
      </c>
      <c r="R80" s="14">
        <f t="shared" si="5"/>
        <v>0</v>
      </c>
      <c r="S80" s="13" t="e">
        <f t="shared" si="6"/>
        <v>#DIV/0!</v>
      </c>
      <c r="T80" s="13" t="e">
        <f t="shared" si="7"/>
        <v>#DIV/0!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Reference!B287</f>
        <v>0</v>
      </c>
      <c r="E81" s="13">
        <f>Reference!C287</f>
        <v>0</v>
      </c>
      <c r="F81" s="13">
        <f>Reference!D287</f>
        <v>0</v>
      </c>
      <c r="G81" s="13">
        <f>Reference!E287</f>
        <v>0</v>
      </c>
      <c r="H81" s="13">
        <f>Reference!F287</f>
        <v>0</v>
      </c>
      <c r="I81" s="13">
        <f>Reference!G287</f>
        <v>0</v>
      </c>
      <c r="J81" s="14">
        <f t="shared" si="4"/>
        <v>0</v>
      </c>
      <c r="L81" s="12">
        <f>Test!B287</f>
        <v>0</v>
      </c>
      <c r="M81" s="13">
        <f>Test!C287</f>
        <v>0</v>
      </c>
      <c r="N81" s="13">
        <f>Test!D287</f>
        <v>0</v>
      </c>
      <c r="O81" s="13">
        <f>Test!E287</f>
        <v>0</v>
      </c>
      <c r="P81" s="13">
        <f>Test!F287</f>
        <v>0</v>
      </c>
      <c r="Q81" s="13">
        <f>Test!G287</f>
        <v>0</v>
      </c>
      <c r="R81" s="14">
        <f t="shared" si="5"/>
        <v>0</v>
      </c>
      <c r="S81" s="13" t="e">
        <f t="shared" si="6"/>
        <v>#DIV/0!</v>
      </c>
      <c r="T81" s="13" t="e">
        <f t="shared" si="7"/>
        <v>#DIV/0!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Reference!B288</f>
        <v>0</v>
      </c>
      <c r="E82" s="17">
        <f>Reference!C288</f>
        <v>0</v>
      </c>
      <c r="F82" s="17">
        <f>Reference!D288</f>
        <v>0</v>
      </c>
      <c r="G82" s="17">
        <f>Reference!E288</f>
        <v>0</v>
      </c>
      <c r="H82" s="17">
        <f>Reference!F288</f>
        <v>0</v>
      </c>
      <c r="I82" s="17">
        <f>Reference!G288</f>
        <v>0</v>
      </c>
      <c r="J82" s="18">
        <f t="shared" si="4"/>
        <v>0</v>
      </c>
      <c r="L82" s="16">
        <f>Test!B288</f>
        <v>0</v>
      </c>
      <c r="M82" s="17">
        <f>Test!C288</f>
        <v>0</v>
      </c>
      <c r="N82" s="17">
        <f>Test!D288</f>
        <v>0</v>
      </c>
      <c r="O82" s="17">
        <f>Test!E288</f>
        <v>0</v>
      </c>
      <c r="P82" s="17">
        <f>Test!F288</f>
        <v>0</v>
      </c>
      <c r="Q82" s="17">
        <f>Test!G288</f>
        <v>0</v>
      </c>
      <c r="R82" s="18">
        <f t="shared" si="5"/>
        <v>0</v>
      </c>
      <c r="S82" s="13" t="e">
        <f t="shared" si="6"/>
        <v>#DIV/0!</v>
      </c>
      <c r="T82" s="13" t="e">
        <f t="shared" si="7"/>
        <v>#DIV/0!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>
        <f>Reference!B289</f>
        <v>0</v>
      </c>
      <c r="E83" s="10">
        <f>Reference!C289</f>
        <v>0</v>
      </c>
      <c r="F83" s="10">
        <f>Reference!D289</f>
        <v>0</v>
      </c>
      <c r="G83" s="10">
        <f>Reference!E289</f>
        <v>0</v>
      </c>
      <c r="H83" s="10">
        <f>Reference!F289</f>
        <v>0</v>
      </c>
      <c r="I83" s="10">
        <f>Reference!G289</f>
        <v>0</v>
      </c>
      <c r="J83" s="11">
        <f t="shared" si="4"/>
        <v>0</v>
      </c>
      <c r="L83" s="9">
        <f>Test!B289</f>
        <v>0</v>
      </c>
      <c r="M83" s="10">
        <f>Test!C289</f>
        <v>0</v>
      </c>
      <c r="N83" s="10">
        <f>Test!D289</f>
        <v>0</v>
      </c>
      <c r="O83" s="10">
        <f>Test!E289</f>
        <v>0</v>
      </c>
      <c r="P83" s="10">
        <f>Test!F289</f>
        <v>0</v>
      </c>
      <c r="Q83" s="10">
        <f>Test!G289</f>
        <v>0</v>
      </c>
      <c r="R83" s="11">
        <f t="shared" si="5"/>
        <v>0</v>
      </c>
      <c r="S83" s="13" t="e">
        <f t="shared" si="6"/>
        <v>#DIV/0!</v>
      </c>
      <c r="T83" s="13" t="e">
        <f t="shared" si="7"/>
        <v>#DIV/0!</v>
      </c>
      <c r="U83" s="48"/>
      <c r="V83" s="30" t="e">
        <f>bdrate($D83:$D86,E83:E86,$L83:$L86,M83:M86)</f>
        <v>#VALUE!</v>
      </c>
      <c r="W83" s="35" t="e">
        <f>bdrate($D83:$D86,F83:F86,$L83:$L86,N83:N86)</f>
        <v>#VALUE!</v>
      </c>
      <c r="X83" s="35" t="e">
        <f>bdrate($D83:$D86,G83:G86,$L83:$L86,O83:O86)</f>
        <v>#VALUE!</v>
      </c>
      <c r="Y83" s="33" t="e">
        <f>bdrateOld($D83:$D86,E83:E86,$L83:$L86,M83:M86)</f>
        <v>#VALUE!</v>
      </c>
      <c r="Z83" s="37" t="e">
        <f>bdrateOld($D83:$D86,F83:F86,$L83:$L86,N83:N86)</f>
        <v>#VALUE!</v>
      </c>
      <c r="AA83" s="38" t="e">
        <f>bdrateOld($D83:$D86,G83:G86,$L83:$L86,O83:O86)</f>
        <v>#VALUE!</v>
      </c>
    </row>
    <row r="84" spans="1:27" x14ac:dyDescent="0.2">
      <c r="A84" s="25"/>
      <c r="B84" s="25"/>
      <c r="C84" s="25">
        <v>27</v>
      </c>
      <c r="D84" s="12">
        <f>Reference!B290</f>
        <v>0</v>
      </c>
      <c r="E84" s="13">
        <f>Reference!C290</f>
        <v>0</v>
      </c>
      <c r="F84" s="13">
        <f>Reference!D290</f>
        <v>0</v>
      </c>
      <c r="G84" s="13">
        <f>Reference!E290</f>
        <v>0</v>
      </c>
      <c r="H84" s="13">
        <f>Reference!F290</f>
        <v>0</v>
      </c>
      <c r="I84" s="13">
        <f>Reference!G290</f>
        <v>0</v>
      </c>
      <c r="J84" s="14">
        <f t="shared" si="4"/>
        <v>0</v>
      </c>
      <c r="L84" s="12">
        <f>Test!B290</f>
        <v>0</v>
      </c>
      <c r="M84" s="13">
        <f>Test!C290</f>
        <v>0</v>
      </c>
      <c r="N84" s="13">
        <f>Test!D290</f>
        <v>0</v>
      </c>
      <c r="O84" s="13">
        <f>Test!E290</f>
        <v>0</v>
      </c>
      <c r="P84" s="13">
        <f>Test!F290</f>
        <v>0</v>
      </c>
      <c r="Q84" s="13">
        <f>Test!G290</f>
        <v>0</v>
      </c>
      <c r="R84" s="14">
        <f t="shared" si="5"/>
        <v>0</v>
      </c>
      <c r="S84" s="13" t="e">
        <f t="shared" si="6"/>
        <v>#DIV/0!</v>
      </c>
      <c r="T84" s="13" t="e">
        <f t="shared" si="7"/>
        <v>#DIV/0!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Reference!B291</f>
        <v>0</v>
      </c>
      <c r="E85" s="13">
        <f>Reference!C291</f>
        <v>0</v>
      </c>
      <c r="F85" s="13">
        <f>Reference!D291</f>
        <v>0</v>
      </c>
      <c r="G85" s="13">
        <f>Reference!E291</f>
        <v>0</v>
      </c>
      <c r="H85" s="13">
        <f>Reference!F291</f>
        <v>0</v>
      </c>
      <c r="I85" s="13">
        <f>Reference!G291</f>
        <v>0</v>
      </c>
      <c r="J85" s="14">
        <f t="shared" si="4"/>
        <v>0</v>
      </c>
      <c r="L85" s="12">
        <f>Test!B291</f>
        <v>0</v>
      </c>
      <c r="M85" s="13">
        <f>Test!C291</f>
        <v>0</v>
      </c>
      <c r="N85" s="13">
        <f>Test!D291</f>
        <v>0</v>
      </c>
      <c r="O85" s="13">
        <f>Test!E291</f>
        <v>0</v>
      </c>
      <c r="P85" s="13">
        <f>Test!F291</f>
        <v>0</v>
      </c>
      <c r="Q85" s="13">
        <f>Test!G291</f>
        <v>0</v>
      </c>
      <c r="R85" s="14">
        <f t="shared" si="5"/>
        <v>0</v>
      </c>
      <c r="S85" s="13" t="e">
        <f t="shared" si="6"/>
        <v>#DIV/0!</v>
      </c>
      <c r="T85" s="13" t="e">
        <f t="shared" si="7"/>
        <v>#DIV/0!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Reference!B292</f>
        <v>0</v>
      </c>
      <c r="E86" s="17">
        <f>Reference!C292</f>
        <v>0</v>
      </c>
      <c r="F86" s="17">
        <f>Reference!D292</f>
        <v>0</v>
      </c>
      <c r="G86" s="17">
        <f>Reference!E292</f>
        <v>0</v>
      </c>
      <c r="H86" s="17">
        <f>Reference!F292</f>
        <v>0</v>
      </c>
      <c r="I86" s="17">
        <f>Reference!G292</f>
        <v>0</v>
      </c>
      <c r="J86" s="18">
        <f t="shared" si="4"/>
        <v>0</v>
      </c>
      <c r="L86" s="16">
        <f>Test!B292</f>
        <v>0</v>
      </c>
      <c r="M86" s="17">
        <f>Test!C292</f>
        <v>0</v>
      </c>
      <c r="N86" s="17">
        <f>Test!D292</f>
        <v>0</v>
      </c>
      <c r="O86" s="17">
        <f>Test!E292</f>
        <v>0</v>
      </c>
      <c r="P86" s="17">
        <f>Test!F292</f>
        <v>0</v>
      </c>
      <c r="Q86" s="17">
        <f>Test!G292</f>
        <v>0</v>
      </c>
      <c r="R86" s="18">
        <f t="shared" si="5"/>
        <v>0</v>
      </c>
      <c r="S86" s="13" t="e">
        <f t="shared" si="6"/>
        <v>#DIV/0!</v>
      </c>
      <c r="T86" s="13" t="e">
        <f t="shared" si="7"/>
        <v>#DIV/0!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>
        <f>Reference!B293</f>
        <v>0</v>
      </c>
      <c r="E87" s="10">
        <f>Reference!C293</f>
        <v>0</v>
      </c>
      <c r="F87" s="10">
        <f>Reference!D293</f>
        <v>0</v>
      </c>
      <c r="G87" s="10">
        <f>Reference!E293</f>
        <v>0</v>
      </c>
      <c r="H87" s="10">
        <f>Reference!F293</f>
        <v>0</v>
      </c>
      <c r="I87" s="10">
        <f>Reference!G293</f>
        <v>0</v>
      </c>
      <c r="J87" s="11">
        <f t="shared" si="4"/>
        <v>0</v>
      </c>
      <c r="L87" s="9">
        <f>Test!B293</f>
        <v>0</v>
      </c>
      <c r="M87" s="10">
        <f>Test!C293</f>
        <v>0</v>
      </c>
      <c r="N87" s="10">
        <f>Test!D293</f>
        <v>0</v>
      </c>
      <c r="O87" s="10">
        <f>Test!E293</f>
        <v>0</v>
      </c>
      <c r="P87" s="10">
        <f>Test!F293</f>
        <v>0</v>
      </c>
      <c r="Q87" s="10">
        <f>Test!G293</f>
        <v>0</v>
      </c>
      <c r="R87" s="11">
        <f t="shared" si="5"/>
        <v>0</v>
      </c>
      <c r="S87" s="13" t="e">
        <f t="shared" si="6"/>
        <v>#DIV/0!</v>
      </c>
      <c r="T87" s="13" t="e">
        <f t="shared" si="7"/>
        <v>#DIV/0!</v>
      </c>
      <c r="U87" s="48"/>
      <c r="V87" s="30" t="e">
        <f>bdrate($D87:$D90,E87:E90,$L87:$L90,M87:M90)</f>
        <v>#VALUE!</v>
      </c>
      <c r="W87" s="35" t="e">
        <f>bdrate($D87:$D90,F87:F90,$L87:$L90,N87:N90)</f>
        <v>#VALUE!</v>
      </c>
      <c r="X87" s="35" t="e">
        <f>bdrate($D87:$D90,G87:G90,$L87:$L90,O87:O90)</f>
        <v>#VALUE!</v>
      </c>
      <c r="Y87" s="33" t="e">
        <f>bdrateOld($D87:$D90,E87:E90,$L87:$L90,M87:M90)</f>
        <v>#VALUE!</v>
      </c>
      <c r="Z87" s="37" t="e">
        <f>bdrateOld($D87:$D90,F87:F90,$L87:$L90,N87:N90)</f>
        <v>#VALUE!</v>
      </c>
      <c r="AA87" s="38" t="e">
        <f>bdrateOld($D87:$D90,G87:G90,$L87:$L90,O87:O90)</f>
        <v>#VALUE!</v>
      </c>
    </row>
    <row r="88" spans="1:27" x14ac:dyDescent="0.2">
      <c r="A88" s="25"/>
      <c r="B88" s="25"/>
      <c r="C88" s="25">
        <v>27</v>
      </c>
      <c r="D88" s="12">
        <f>Reference!B294</f>
        <v>0</v>
      </c>
      <c r="E88" s="13">
        <f>Reference!C294</f>
        <v>0</v>
      </c>
      <c r="F88" s="13">
        <f>Reference!D294</f>
        <v>0</v>
      </c>
      <c r="G88" s="13">
        <f>Reference!E294</f>
        <v>0</v>
      </c>
      <c r="H88" s="13">
        <f>Reference!F294</f>
        <v>0</v>
      </c>
      <c r="I88" s="13">
        <f>Reference!G294</f>
        <v>0</v>
      </c>
      <c r="J88" s="14">
        <f t="shared" si="4"/>
        <v>0</v>
      </c>
      <c r="L88" s="12">
        <f>Test!B294</f>
        <v>0</v>
      </c>
      <c r="M88" s="13">
        <f>Test!C294</f>
        <v>0</v>
      </c>
      <c r="N88" s="13">
        <f>Test!D294</f>
        <v>0</v>
      </c>
      <c r="O88" s="13">
        <f>Test!E294</f>
        <v>0</v>
      </c>
      <c r="P88" s="13">
        <f>Test!F294</f>
        <v>0</v>
      </c>
      <c r="Q88" s="13">
        <f>Test!G294</f>
        <v>0</v>
      </c>
      <c r="R88" s="14">
        <f t="shared" si="5"/>
        <v>0</v>
      </c>
      <c r="S88" s="13" t="e">
        <f t="shared" si="6"/>
        <v>#DIV/0!</v>
      </c>
      <c r="T88" s="13" t="e">
        <f t="shared" si="7"/>
        <v>#DIV/0!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Reference!B295</f>
        <v>0</v>
      </c>
      <c r="E89" s="13">
        <f>Reference!C295</f>
        <v>0</v>
      </c>
      <c r="F89" s="13">
        <f>Reference!D295</f>
        <v>0</v>
      </c>
      <c r="G89" s="13">
        <f>Reference!E295</f>
        <v>0</v>
      </c>
      <c r="H89" s="13">
        <f>Reference!F295</f>
        <v>0</v>
      </c>
      <c r="I89" s="13">
        <f>Reference!G295</f>
        <v>0</v>
      </c>
      <c r="J89" s="14">
        <f t="shared" si="4"/>
        <v>0</v>
      </c>
      <c r="L89" s="12">
        <f>Test!B295</f>
        <v>0</v>
      </c>
      <c r="M89" s="13">
        <f>Test!C295</f>
        <v>0</v>
      </c>
      <c r="N89" s="13">
        <f>Test!D295</f>
        <v>0</v>
      </c>
      <c r="O89" s="13">
        <f>Test!E295</f>
        <v>0</v>
      </c>
      <c r="P89" s="13">
        <f>Test!F295</f>
        <v>0</v>
      </c>
      <c r="Q89" s="13">
        <f>Test!G295</f>
        <v>0</v>
      </c>
      <c r="R89" s="14">
        <f t="shared" si="5"/>
        <v>0</v>
      </c>
      <c r="S89" s="13" t="e">
        <f t="shared" si="6"/>
        <v>#DIV/0!</v>
      </c>
      <c r="T89" s="13" t="e">
        <f t="shared" si="7"/>
        <v>#DIV/0!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Reference!B296</f>
        <v>0</v>
      </c>
      <c r="E90" s="17">
        <f>Reference!C296</f>
        <v>0</v>
      </c>
      <c r="F90" s="17">
        <f>Reference!D296</f>
        <v>0</v>
      </c>
      <c r="G90" s="17">
        <f>Reference!E296</f>
        <v>0</v>
      </c>
      <c r="H90" s="17">
        <f>Reference!F296</f>
        <v>0</v>
      </c>
      <c r="I90" s="17">
        <f>Reference!G296</f>
        <v>0</v>
      </c>
      <c r="J90" s="18">
        <f t="shared" si="4"/>
        <v>0</v>
      </c>
      <c r="L90" s="16">
        <f>Test!B296</f>
        <v>0</v>
      </c>
      <c r="M90" s="17">
        <f>Test!C296</f>
        <v>0</v>
      </c>
      <c r="N90" s="17">
        <f>Test!D296</f>
        <v>0</v>
      </c>
      <c r="O90" s="17">
        <f>Test!E296</f>
        <v>0</v>
      </c>
      <c r="P90" s="17">
        <f>Test!F296</f>
        <v>0</v>
      </c>
      <c r="Q90" s="17">
        <f>Test!G296</f>
        <v>0</v>
      </c>
      <c r="R90" s="18">
        <f t="shared" si="5"/>
        <v>0</v>
      </c>
      <c r="S90" s="13" t="e">
        <f t="shared" si="6"/>
        <v>#DIV/0!</v>
      </c>
      <c r="T90" s="13" t="e">
        <f t="shared" si="7"/>
        <v>#DIV/0!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Reference!B297</f>
        <v>0</v>
      </c>
      <c r="E91" s="10">
        <f>Reference!C297</f>
        <v>0</v>
      </c>
      <c r="F91" s="10">
        <f>Reference!D297</f>
        <v>0</v>
      </c>
      <c r="G91" s="10">
        <f>Reference!E297</f>
        <v>0</v>
      </c>
      <c r="H91" s="10">
        <f>Reference!F297</f>
        <v>0</v>
      </c>
      <c r="I91" s="10">
        <f>Reference!G297</f>
        <v>0</v>
      </c>
      <c r="J91" s="11">
        <f t="shared" ref="J91:J106" si="8">H91/3600</f>
        <v>0</v>
      </c>
      <c r="L91" s="9">
        <f>Test!B297</f>
        <v>0</v>
      </c>
      <c r="M91" s="10">
        <f>Test!C297</f>
        <v>0</v>
      </c>
      <c r="N91" s="10">
        <f>Test!D297</f>
        <v>0</v>
      </c>
      <c r="O91" s="10">
        <f>Test!E297</f>
        <v>0</v>
      </c>
      <c r="P91" s="10">
        <f>Test!F297</f>
        <v>0</v>
      </c>
      <c r="Q91" s="10">
        <f>Test!G297</f>
        <v>0</v>
      </c>
      <c r="R91" s="11">
        <f t="shared" ref="R91:R106" si="9">P91/3600</f>
        <v>0</v>
      </c>
      <c r="S91" s="10" t="e">
        <f t="shared" ref="S91:S106" si="10">P91/H91</f>
        <v>#DIV/0!</v>
      </c>
      <c r="T91" s="10" t="e">
        <f t="shared" ref="T91:T106" si="11">Q91/I91</f>
        <v>#DIV/0!</v>
      </c>
      <c r="U91" s="47"/>
      <c r="V91" s="30" t="e">
        <f>bdrate($D91:$D94,E91:E94,$L91:$L94,M91:M94)</f>
        <v>#VALUE!</v>
      </c>
      <c r="W91" s="35" t="e">
        <f>bdrate($D91:$D94,F91:F94,$L91:$L94,N91:N94)</f>
        <v>#VALUE!</v>
      </c>
      <c r="X91" s="36" t="e">
        <f>bdrate($D91:$D94,G91:G94,$L91:$L94,O91:O94)</f>
        <v>#VALUE!</v>
      </c>
      <c r="Y91" s="30" t="e">
        <f>bdrateOld($D91:$D94,E91:E94,$L91:$L94,M91:M94)</f>
        <v>#VALUE!</v>
      </c>
      <c r="Z91" s="35" t="e">
        <f>bdrateOld($D91:$D94,F91:F94,$L91:$L94,N91:N94)</f>
        <v>#VALUE!</v>
      </c>
      <c r="AA91" s="36" t="e">
        <f>bdrateOld($D91:$D94,G91:G94,$L91:$L94,O91:O94)</f>
        <v>#VALUE!</v>
      </c>
    </row>
    <row r="92" spans="1:27" x14ac:dyDescent="0.2">
      <c r="A92" s="25"/>
      <c r="B92" s="25"/>
      <c r="C92" s="25">
        <v>27</v>
      </c>
      <c r="D92" s="12">
        <f>Reference!B298</f>
        <v>0</v>
      </c>
      <c r="E92" s="13">
        <f>Reference!C298</f>
        <v>0</v>
      </c>
      <c r="F92" s="13">
        <f>Reference!D298</f>
        <v>0</v>
      </c>
      <c r="G92" s="13">
        <f>Reference!E298</f>
        <v>0</v>
      </c>
      <c r="H92" s="13">
        <f>Reference!F298</f>
        <v>0</v>
      </c>
      <c r="I92" s="13">
        <f>Reference!G298</f>
        <v>0</v>
      </c>
      <c r="J92" s="14">
        <f t="shared" si="8"/>
        <v>0</v>
      </c>
      <c r="L92" s="12">
        <f>Test!B298</f>
        <v>0</v>
      </c>
      <c r="M92" s="13">
        <f>Test!C298</f>
        <v>0</v>
      </c>
      <c r="N92" s="13">
        <f>Test!D298</f>
        <v>0</v>
      </c>
      <c r="O92" s="13">
        <f>Test!E298</f>
        <v>0</v>
      </c>
      <c r="P92" s="13">
        <f>Test!F298</f>
        <v>0</v>
      </c>
      <c r="Q92" s="13">
        <f>Test!G298</f>
        <v>0</v>
      </c>
      <c r="R92" s="14">
        <f t="shared" si="9"/>
        <v>0</v>
      </c>
      <c r="S92" s="13" t="e">
        <f t="shared" si="10"/>
        <v>#DIV/0!</v>
      </c>
      <c r="T92" s="13" t="e">
        <f t="shared" si="11"/>
        <v>#DIV/0!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Reference!B299</f>
        <v>0</v>
      </c>
      <c r="E93" s="13">
        <f>Reference!C299</f>
        <v>0</v>
      </c>
      <c r="F93" s="13">
        <f>Reference!D299</f>
        <v>0</v>
      </c>
      <c r="G93" s="13">
        <f>Reference!E299</f>
        <v>0</v>
      </c>
      <c r="H93" s="13">
        <f>Reference!F299</f>
        <v>0</v>
      </c>
      <c r="I93" s="13">
        <f>Reference!G299</f>
        <v>0</v>
      </c>
      <c r="J93" s="14">
        <f t="shared" si="8"/>
        <v>0</v>
      </c>
      <c r="L93" s="12">
        <f>Test!B299</f>
        <v>0</v>
      </c>
      <c r="M93" s="13">
        <f>Test!C299</f>
        <v>0</v>
      </c>
      <c r="N93" s="13">
        <f>Test!D299</f>
        <v>0</v>
      </c>
      <c r="O93" s="13">
        <f>Test!E299</f>
        <v>0</v>
      </c>
      <c r="P93" s="13">
        <f>Test!F299</f>
        <v>0</v>
      </c>
      <c r="Q93" s="13">
        <f>Test!G299</f>
        <v>0</v>
      </c>
      <c r="R93" s="14">
        <f t="shared" si="9"/>
        <v>0</v>
      </c>
      <c r="S93" s="13" t="e">
        <f t="shared" si="10"/>
        <v>#DIV/0!</v>
      </c>
      <c r="T93" s="13" t="e">
        <f t="shared" si="11"/>
        <v>#DIV/0!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Reference!B300</f>
        <v>0</v>
      </c>
      <c r="E94" s="17">
        <f>Reference!C300</f>
        <v>0</v>
      </c>
      <c r="F94" s="17">
        <f>Reference!D300</f>
        <v>0</v>
      </c>
      <c r="G94" s="17">
        <f>Reference!E300</f>
        <v>0</v>
      </c>
      <c r="H94" s="17">
        <f>Reference!F300</f>
        <v>0</v>
      </c>
      <c r="I94" s="17">
        <f>Reference!G300</f>
        <v>0</v>
      </c>
      <c r="J94" s="18">
        <f t="shared" si="8"/>
        <v>0</v>
      </c>
      <c r="L94" s="16">
        <f>Test!B300</f>
        <v>0</v>
      </c>
      <c r="M94" s="17">
        <f>Test!C300</f>
        <v>0</v>
      </c>
      <c r="N94" s="17">
        <f>Test!D300</f>
        <v>0</v>
      </c>
      <c r="O94" s="17">
        <f>Test!E300</f>
        <v>0</v>
      </c>
      <c r="P94" s="17">
        <f>Test!F300</f>
        <v>0</v>
      </c>
      <c r="Q94" s="17">
        <f>Test!G300</f>
        <v>0</v>
      </c>
      <c r="R94" s="18">
        <f t="shared" si="9"/>
        <v>0</v>
      </c>
      <c r="S94" s="13" t="e">
        <f t="shared" si="10"/>
        <v>#DIV/0!</v>
      </c>
      <c r="T94" s="13" t="e">
        <f t="shared" si="11"/>
        <v>#DIV/0!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Reference!B301</f>
        <v>0</v>
      </c>
      <c r="E95" s="10">
        <f>Reference!C301</f>
        <v>0</v>
      </c>
      <c r="F95" s="10">
        <f>Reference!D301</f>
        <v>0</v>
      </c>
      <c r="G95" s="10">
        <f>Reference!E301</f>
        <v>0</v>
      </c>
      <c r="H95" s="10">
        <f>Reference!F301</f>
        <v>0</v>
      </c>
      <c r="I95" s="10">
        <f>Reference!G301</f>
        <v>0</v>
      </c>
      <c r="J95" s="11">
        <f t="shared" si="8"/>
        <v>0</v>
      </c>
      <c r="L95" s="9">
        <f>Test!B301</f>
        <v>0</v>
      </c>
      <c r="M95" s="10">
        <f>Test!C301</f>
        <v>0</v>
      </c>
      <c r="N95" s="10">
        <f>Test!D301</f>
        <v>0</v>
      </c>
      <c r="O95" s="10">
        <f>Test!E301</f>
        <v>0</v>
      </c>
      <c r="P95" s="10">
        <f>Test!F301</f>
        <v>0</v>
      </c>
      <c r="Q95" s="10">
        <f>Test!G301</f>
        <v>0</v>
      </c>
      <c r="R95" s="11">
        <f t="shared" si="9"/>
        <v>0</v>
      </c>
      <c r="S95" s="13" t="e">
        <f t="shared" si="10"/>
        <v>#DIV/0!</v>
      </c>
      <c r="T95" s="13" t="e">
        <f t="shared" si="11"/>
        <v>#DIV/0!</v>
      </c>
      <c r="U95" s="48"/>
      <c r="V95" s="30" t="e">
        <f>bdrate($D95:$D98,E95:E98,$L95:$L98,M95:M98)</f>
        <v>#VALUE!</v>
      </c>
      <c r="W95" s="35" t="e">
        <f>bdrate($D95:$D98,F95:F98,$L95:$L98,N95:N98)</f>
        <v>#VALUE!</v>
      </c>
      <c r="X95" s="35" t="e">
        <f>bdrate($D95:$D98,G95:G98,$L95:$L98,O95:O98)</f>
        <v>#VALUE!</v>
      </c>
      <c r="Y95" s="33" t="e">
        <f>bdrateOld($D95:$D98,E95:E98,$L95:$L98,M95:M98)</f>
        <v>#VALUE!</v>
      </c>
      <c r="Z95" s="37" t="e">
        <f>bdrateOld($D95:$D98,F95:F98,$L95:$L98,N95:N98)</f>
        <v>#VALUE!</v>
      </c>
      <c r="AA95" s="38" t="e">
        <f>bdrateOld($D95:$D98,G95:G98,$L95:$L98,O95:O98)</f>
        <v>#VALUE!</v>
      </c>
    </row>
    <row r="96" spans="1:27" x14ac:dyDescent="0.2">
      <c r="A96" s="25"/>
      <c r="B96" s="25"/>
      <c r="C96" s="25">
        <v>27</v>
      </c>
      <c r="D96" s="12">
        <f>Reference!B302</f>
        <v>0</v>
      </c>
      <c r="E96" s="13">
        <f>Reference!C302</f>
        <v>0</v>
      </c>
      <c r="F96" s="13">
        <f>Reference!D302</f>
        <v>0</v>
      </c>
      <c r="G96" s="13">
        <f>Reference!E302</f>
        <v>0</v>
      </c>
      <c r="H96" s="13">
        <f>Reference!F302</f>
        <v>0</v>
      </c>
      <c r="I96" s="13">
        <f>Reference!G302</f>
        <v>0</v>
      </c>
      <c r="J96" s="14">
        <f t="shared" si="8"/>
        <v>0</v>
      </c>
      <c r="L96" s="12">
        <f>Test!B302</f>
        <v>0</v>
      </c>
      <c r="M96" s="13">
        <f>Test!C302</f>
        <v>0</v>
      </c>
      <c r="N96" s="13">
        <f>Test!D302</f>
        <v>0</v>
      </c>
      <c r="O96" s="13">
        <f>Test!E302</f>
        <v>0</v>
      </c>
      <c r="P96" s="13">
        <f>Test!F302</f>
        <v>0</v>
      </c>
      <c r="Q96" s="13">
        <f>Test!G302</f>
        <v>0</v>
      </c>
      <c r="R96" s="14">
        <f t="shared" si="9"/>
        <v>0</v>
      </c>
      <c r="S96" s="13" t="e">
        <f t="shared" si="10"/>
        <v>#DIV/0!</v>
      </c>
      <c r="T96" s="13" t="e">
        <f t="shared" si="11"/>
        <v>#DIV/0!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Reference!B303</f>
        <v>0</v>
      </c>
      <c r="E97" s="13">
        <f>Reference!C303</f>
        <v>0</v>
      </c>
      <c r="F97" s="13">
        <f>Reference!D303</f>
        <v>0</v>
      </c>
      <c r="G97" s="13">
        <f>Reference!E303</f>
        <v>0</v>
      </c>
      <c r="H97" s="13">
        <f>Reference!F303</f>
        <v>0</v>
      </c>
      <c r="I97" s="13">
        <f>Reference!G303</f>
        <v>0</v>
      </c>
      <c r="J97" s="14">
        <f t="shared" si="8"/>
        <v>0</v>
      </c>
      <c r="L97" s="12">
        <f>Test!B303</f>
        <v>0</v>
      </c>
      <c r="M97" s="13">
        <f>Test!C303</f>
        <v>0</v>
      </c>
      <c r="N97" s="13">
        <f>Test!D303</f>
        <v>0</v>
      </c>
      <c r="O97" s="13">
        <f>Test!E303</f>
        <v>0</v>
      </c>
      <c r="P97" s="13">
        <f>Test!F303</f>
        <v>0</v>
      </c>
      <c r="Q97" s="13">
        <f>Test!G303</f>
        <v>0</v>
      </c>
      <c r="R97" s="14">
        <f t="shared" si="9"/>
        <v>0</v>
      </c>
      <c r="S97" s="13" t="e">
        <f t="shared" si="10"/>
        <v>#DIV/0!</v>
      </c>
      <c r="T97" s="13" t="e">
        <f t="shared" si="11"/>
        <v>#DIV/0!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Reference!B304</f>
        <v>0</v>
      </c>
      <c r="E98" s="17">
        <f>Reference!C304</f>
        <v>0</v>
      </c>
      <c r="F98" s="17">
        <f>Reference!D304</f>
        <v>0</v>
      </c>
      <c r="G98" s="17">
        <f>Reference!E304</f>
        <v>0</v>
      </c>
      <c r="H98" s="17">
        <f>Reference!F304</f>
        <v>0</v>
      </c>
      <c r="I98" s="17">
        <f>Reference!G304</f>
        <v>0</v>
      </c>
      <c r="J98" s="18">
        <f t="shared" si="8"/>
        <v>0</v>
      </c>
      <c r="L98" s="16">
        <f>Test!B304</f>
        <v>0</v>
      </c>
      <c r="M98" s="17">
        <f>Test!C304</f>
        <v>0</v>
      </c>
      <c r="N98" s="17">
        <f>Test!D304</f>
        <v>0</v>
      </c>
      <c r="O98" s="17">
        <f>Test!E304</f>
        <v>0</v>
      </c>
      <c r="P98" s="17">
        <f>Test!F304</f>
        <v>0</v>
      </c>
      <c r="Q98" s="17">
        <f>Test!G304</f>
        <v>0</v>
      </c>
      <c r="R98" s="18">
        <f t="shared" si="9"/>
        <v>0</v>
      </c>
      <c r="S98" s="13" t="e">
        <f t="shared" si="10"/>
        <v>#DIV/0!</v>
      </c>
      <c r="T98" s="13" t="e">
        <f t="shared" si="11"/>
        <v>#DIV/0!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Reference!B305</f>
        <v>0</v>
      </c>
      <c r="E99" s="10">
        <f>Reference!C305</f>
        <v>0</v>
      </c>
      <c r="F99" s="10">
        <f>Reference!D305</f>
        <v>0</v>
      </c>
      <c r="G99" s="10">
        <f>Reference!E305</f>
        <v>0</v>
      </c>
      <c r="H99" s="10">
        <f>Reference!F305</f>
        <v>0</v>
      </c>
      <c r="I99" s="10">
        <f>Reference!G305</f>
        <v>0</v>
      </c>
      <c r="J99" s="11">
        <f t="shared" si="8"/>
        <v>0</v>
      </c>
      <c r="L99" s="9">
        <f>Test!B305</f>
        <v>0</v>
      </c>
      <c r="M99" s="10">
        <f>Test!C305</f>
        <v>0</v>
      </c>
      <c r="N99" s="10">
        <f>Test!D305</f>
        <v>0</v>
      </c>
      <c r="O99" s="10">
        <f>Test!E305</f>
        <v>0</v>
      </c>
      <c r="P99" s="10">
        <f>Test!F305</f>
        <v>0</v>
      </c>
      <c r="Q99" s="10">
        <f>Test!G305</f>
        <v>0</v>
      </c>
      <c r="R99" s="11">
        <f t="shared" si="9"/>
        <v>0</v>
      </c>
      <c r="S99" s="13" t="e">
        <f t="shared" si="10"/>
        <v>#DIV/0!</v>
      </c>
      <c r="T99" s="13" t="e">
        <f t="shared" si="11"/>
        <v>#DIV/0!</v>
      </c>
      <c r="U99" s="48"/>
      <c r="V99" s="30" t="e">
        <f>bdrate($D99:$D102,E99:E102,$L99:$L102,M99:M102)</f>
        <v>#VALUE!</v>
      </c>
      <c r="W99" s="35" t="e">
        <f>bdrate($D99:$D102,F99:F102,$L99:$L102,N99:N102)</f>
        <v>#VALUE!</v>
      </c>
      <c r="X99" s="35" t="e">
        <f>bdrate($D99:$D102,G99:G102,$L99:$L102,O99:O102)</f>
        <v>#VALUE!</v>
      </c>
      <c r="Y99" s="33" t="e">
        <f>bdrateOld($D99:$D102,E99:E102,$L99:$L102,M99:M102)</f>
        <v>#VALUE!</v>
      </c>
      <c r="Z99" s="37" t="e">
        <f>bdrateOld($D99:$D102,F99:F102,$L99:$L102,N99:N102)</f>
        <v>#VALUE!</v>
      </c>
      <c r="AA99" s="38" t="e">
        <f>bdrateOld($D99:$D102,G99:G102,$L99:$L102,O99:O102)</f>
        <v>#VALUE!</v>
      </c>
    </row>
    <row r="100" spans="1:27" x14ac:dyDescent="0.2">
      <c r="A100" s="25"/>
      <c r="B100" s="25"/>
      <c r="C100" s="25">
        <v>27</v>
      </c>
      <c r="D100" s="12">
        <f>Reference!B306</f>
        <v>0</v>
      </c>
      <c r="E100" s="13">
        <f>Reference!C306</f>
        <v>0</v>
      </c>
      <c r="F100" s="13">
        <f>Reference!D306</f>
        <v>0</v>
      </c>
      <c r="G100" s="13">
        <f>Reference!E306</f>
        <v>0</v>
      </c>
      <c r="H100" s="13">
        <f>Reference!F306</f>
        <v>0</v>
      </c>
      <c r="I100" s="13">
        <f>Reference!G306</f>
        <v>0</v>
      </c>
      <c r="J100" s="14">
        <f t="shared" si="8"/>
        <v>0</v>
      </c>
      <c r="L100" s="12">
        <f>Test!B306</f>
        <v>0</v>
      </c>
      <c r="M100" s="13">
        <f>Test!C306</f>
        <v>0</v>
      </c>
      <c r="N100" s="13">
        <f>Test!D306</f>
        <v>0</v>
      </c>
      <c r="O100" s="13">
        <f>Test!E306</f>
        <v>0</v>
      </c>
      <c r="P100" s="13">
        <f>Test!F306</f>
        <v>0</v>
      </c>
      <c r="Q100" s="13">
        <f>Test!G306</f>
        <v>0</v>
      </c>
      <c r="R100" s="14">
        <f t="shared" si="9"/>
        <v>0</v>
      </c>
      <c r="S100" s="13" t="e">
        <f t="shared" si="10"/>
        <v>#DIV/0!</v>
      </c>
      <c r="T100" s="13" t="e">
        <f t="shared" si="11"/>
        <v>#DIV/0!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Reference!B307</f>
        <v>0</v>
      </c>
      <c r="E101" s="13">
        <f>Reference!C307</f>
        <v>0</v>
      </c>
      <c r="F101" s="13">
        <f>Reference!D307</f>
        <v>0</v>
      </c>
      <c r="G101" s="13">
        <f>Reference!E307</f>
        <v>0</v>
      </c>
      <c r="H101" s="13">
        <f>Reference!F307</f>
        <v>0</v>
      </c>
      <c r="I101" s="13">
        <f>Reference!G307</f>
        <v>0</v>
      </c>
      <c r="J101" s="14">
        <f t="shared" si="8"/>
        <v>0</v>
      </c>
      <c r="L101" s="12">
        <f>Test!B307</f>
        <v>0</v>
      </c>
      <c r="M101" s="13">
        <f>Test!C307</f>
        <v>0</v>
      </c>
      <c r="N101" s="13">
        <f>Test!D307</f>
        <v>0</v>
      </c>
      <c r="O101" s="13">
        <f>Test!E307</f>
        <v>0</v>
      </c>
      <c r="P101" s="13">
        <f>Test!F307</f>
        <v>0</v>
      </c>
      <c r="Q101" s="13">
        <f>Test!G307</f>
        <v>0</v>
      </c>
      <c r="R101" s="14">
        <f t="shared" si="9"/>
        <v>0</v>
      </c>
      <c r="S101" s="13" t="e">
        <f t="shared" si="10"/>
        <v>#DIV/0!</v>
      </c>
      <c r="T101" s="13" t="e">
        <f t="shared" si="11"/>
        <v>#DIV/0!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Reference!B308</f>
        <v>0</v>
      </c>
      <c r="E102" s="17">
        <f>Reference!C308</f>
        <v>0</v>
      </c>
      <c r="F102" s="17">
        <f>Reference!D308</f>
        <v>0</v>
      </c>
      <c r="G102" s="17">
        <f>Reference!E308</f>
        <v>0</v>
      </c>
      <c r="H102" s="17">
        <f>Reference!F308</f>
        <v>0</v>
      </c>
      <c r="I102" s="17">
        <f>Reference!G308</f>
        <v>0</v>
      </c>
      <c r="J102" s="18">
        <f t="shared" si="8"/>
        <v>0</v>
      </c>
      <c r="L102" s="16">
        <f>Test!B308</f>
        <v>0</v>
      </c>
      <c r="M102" s="17">
        <f>Test!C308</f>
        <v>0</v>
      </c>
      <c r="N102" s="17">
        <f>Test!D308</f>
        <v>0</v>
      </c>
      <c r="O102" s="17">
        <f>Test!E308</f>
        <v>0</v>
      </c>
      <c r="P102" s="17">
        <f>Test!F308</f>
        <v>0</v>
      </c>
      <c r="Q102" s="17">
        <f>Test!G308</f>
        <v>0</v>
      </c>
      <c r="R102" s="18">
        <f t="shared" si="9"/>
        <v>0</v>
      </c>
      <c r="S102" s="13" t="e">
        <f t="shared" si="10"/>
        <v>#DIV/0!</v>
      </c>
      <c r="T102" s="13" t="e">
        <f t="shared" si="11"/>
        <v>#DIV/0!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Reference!B309</f>
        <v>0</v>
      </c>
      <c r="E103" s="10">
        <f>Reference!C309</f>
        <v>0</v>
      </c>
      <c r="F103" s="10">
        <f>Reference!D309</f>
        <v>0</v>
      </c>
      <c r="G103" s="10">
        <f>Reference!E309</f>
        <v>0</v>
      </c>
      <c r="H103" s="10">
        <f>Reference!F309</f>
        <v>0</v>
      </c>
      <c r="I103" s="10">
        <f>Reference!G309</f>
        <v>0</v>
      </c>
      <c r="J103" s="11">
        <f t="shared" si="8"/>
        <v>0</v>
      </c>
      <c r="L103" s="9">
        <f>Test!B309</f>
        <v>0</v>
      </c>
      <c r="M103" s="10">
        <f>Test!C309</f>
        <v>0</v>
      </c>
      <c r="N103" s="10">
        <f>Test!D309</f>
        <v>0</v>
      </c>
      <c r="O103" s="10">
        <f>Test!E309</f>
        <v>0</v>
      </c>
      <c r="P103" s="10">
        <f>Test!F309</f>
        <v>0</v>
      </c>
      <c r="Q103" s="10">
        <f>Test!G309</f>
        <v>0</v>
      </c>
      <c r="R103" s="11">
        <f t="shared" si="9"/>
        <v>0</v>
      </c>
      <c r="S103" s="13" t="e">
        <f t="shared" si="10"/>
        <v>#DIV/0!</v>
      </c>
      <c r="T103" s="13" t="e">
        <f t="shared" si="11"/>
        <v>#DIV/0!</v>
      </c>
      <c r="U103" s="48"/>
      <c r="V103" s="30" t="e">
        <f>bdrate($D103:$D106,E103:E106,$L103:$L106,M103:M106)</f>
        <v>#VALUE!</v>
      </c>
      <c r="W103" s="35" t="e">
        <f>bdrate($D103:$D106,F103:F106,$L103:$L106,N103:N106)</f>
        <v>#VALUE!</v>
      </c>
      <c r="X103" s="35" t="e">
        <f>bdrate($D103:$D106,G103:G106,$L103:$L106,O103:O106)</f>
        <v>#VALUE!</v>
      </c>
      <c r="Y103" s="33" t="e">
        <f>bdrateOld($D103:$D106,E103:E106,$L103:$L106,M103:M106)</f>
        <v>#VALUE!</v>
      </c>
      <c r="Z103" s="37" t="e">
        <f>bdrateOld($D103:$D106,F103:F106,$L103:$L106,N103:N106)</f>
        <v>#VALUE!</v>
      </c>
      <c r="AA103" s="38" t="e">
        <f>bdrateOld($D103:$D106,G103:G106,$L103:$L106,O103:O106)</f>
        <v>#VALUE!</v>
      </c>
    </row>
    <row r="104" spans="1:27" x14ac:dyDescent="0.2">
      <c r="A104" s="25"/>
      <c r="B104" s="25"/>
      <c r="C104" s="25">
        <v>27</v>
      </c>
      <c r="D104" s="12">
        <f>Reference!B310</f>
        <v>0</v>
      </c>
      <c r="E104" s="13">
        <f>Reference!C310</f>
        <v>0</v>
      </c>
      <c r="F104" s="13">
        <f>Reference!D310</f>
        <v>0</v>
      </c>
      <c r="G104" s="13">
        <f>Reference!E310</f>
        <v>0</v>
      </c>
      <c r="H104" s="13">
        <f>Reference!F310</f>
        <v>0</v>
      </c>
      <c r="I104" s="13">
        <f>Reference!G310</f>
        <v>0</v>
      </c>
      <c r="J104" s="14">
        <f t="shared" si="8"/>
        <v>0</v>
      </c>
      <c r="L104" s="12">
        <f>Test!B310</f>
        <v>0</v>
      </c>
      <c r="M104" s="13">
        <f>Test!C310</f>
        <v>0</v>
      </c>
      <c r="N104" s="13">
        <f>Test!D310</f>
        <v>0</v>
      </c>
      <c r="O104" s="13">
        <f>Test!E310</f>
        <v>0</v>
      </c>
      <c r="P104" s="13">
        <f>Test!F310</f>
        <v>0</v>
      </c>
      <c r="Q104" s="13">
        <f>Test!G310</f>
        <v>0</v>
      </c>
      <c r="R104" s="14">
        <f t="shared" si="9"/>
        <v>0</v>
      </c>
      <c r="S104" s="13" t="e">
        <f t="shared" si="10"/>
        <v>#DIV/0!</v>
      </c>
      <c r="T104" s="13" t="e">
        <f t="shared" si="11"/>
        <v>#DIV/0!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Reference!B311</f>
        <v>0</v>
      </c>
      <c r="E105" s="13">
        <f>Reference!C311</f>
        <v>0</v>
      </c>
      <c r="F105" s="13">
        <f>Reference!D311</f>
        <v>0</v>
      </c>
      <c r="G105" s="13">
        <f>Reference!E311</f>
        <v>0</v>
      </c>
      <c r="H105" s="13">
        <f>Reference!F311</f>
        <v>0</v>
      </c>
      <c r="I105" s="13">
        <f>Reference!G311</f>
        <v>0</v>
      </c>
      <c r="J105" s="14">
        <f t="shared" si="8"/>
        <v>0</v>
      </c>
      <c r="L105" s="12">
        <f>Test!B311</f>
        <v>0</v>
      </c>
      <c r="M105" s="13">
        <f>Test!C311</f>
        <v>0</v>
      </c>
      <c r="N105" s="13">
        <f>Test!D311</f>
        <v>0</v>
      </c>
      <c r="O105" s="13">
        <f>Test!E311</f>
        <v>0</v>
      </c>
      <c r="P105" s="13">
        <f>Test!F311</f>
        <v>0</v>
      </c>
      <c r="Q105" s="13">
        <f>Test!G311</f>
        <v>0</v>
      </c>
      <c r="R105" s="14">
        <f t="shared" si="9"/>
        <v>0</v>
      </c>
      <c r="S105" s="13" t="e">
        <f t="shared" si="10"/>
        <v>#DIV/0!</v>
      </c>
      <c r="T105" s="13" t="e">
        <f t="shared" si="11"/>
        <v>#DIV/0!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Reference!B312</f>
        <v>0</v>
      </c>
      <c r="E106" s="17">
        <f>Reference!C312</f>
        <v>0</v>
      </c>
      <c r="F106" s="17">
        <f>Reference!D312</f>
        <v>0</v>
      </c>
      <c r="G106" s="17">
        <f>Reference!E312</f>
        <v>0</v>
      </c>
      <c r="H106" s="17">
        <f>Reference!F312</f>
        <v>0</v>
      </c>
      <c r="I106" s="17">
        <f>Reference!G312</f>
        <v>0</v>
      </c>
      <c r="J106" s="18">
        <f t="shared" si="8"/>
        <v>0</v>
      </c>
      <c r="L106" s="16">
        <f>Test!B312</f>
        <v>0</v>
      </c>
      <c r="M106" s="17">
        <f>Test!C312</f>
        <v>0</v>
      </c>
      <c r="N106" s="17">
        <f>Test!D312</f>
        <v>0</v>
      </c>
      <c r="O106" s="17">
        <f>Test!E312</f>
        <v>0</v>
      </c>
      <c r="P106" s="17">
        <f>Test!F312</f>
        <v>0</v>
      </c>
      <c r="Q106" s="17">
        <f>Test!G312</f>
        <v>0</v>
      </c>
      <c r="R106" s="18">
        <f t="shared" si="9"/>
        <v>0</v>
      </c>
      <c r="S106" s="17" t="e">
        <f t="shared" si="10"/>
        <v>#DIV/0!</v>
      </c>
      <c r="T106" s="17" t="e">
        <f t="shared" si="11"/>
        <v>#DIV/0!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7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8</v>
      </c>
      <c r="I109" s="48" t="e">
        <f>GEOMEAN(I27:I46)</f>
        <v>#NUM!</v>
      </c>
      <c r="J109" s="48" t="e">
        <f>GEOMEAN(J27:J46)</f>
        <v>#NUM!</v>
      </c>
      <c r="Q109" s="48" t="e">
        <f>GEOMEAN(Q27:Q46)</f>
        <v>#NUM!</v>
      </c>
      <c r="R109" s="48" t="e">
        <f>GEOMEAN(R27:R46)</f>
        <v>#NUM!</v>
      </c>
      <c r="S109" s="48" t="e">
        <f>GEOMEAN(S27:S46)</f>
        <v>#DIV/0!</v>
      </c>
      <c r="T109" s="48" t="e">
        <f>GEOMEAN(T27:T46)</f>
        <v>#DIV/0!</v>
      </c>
      <c r="V109" s="33" t="e">
        <f t="shared" ref="V109:AA109" si="12">AVERAGE(V27:V46)</f>
        <v>#VALUE!</v>
      </c>
      <c r="W109" s="37" t="e">
        <f t="shared" si="12"/>
        <v>#VALUE!</v>
      </c>
      <c r="X109" s="37" t="e">
        <f t="shared" si="12"/>
        <v>#VALUE!</v>
      </c>
      <c r="Y109" s="33" t="e">
        <f t="shared" si="12"/>
        <v>#VALUE!</v>
      </c>
      <c r="Z109" s="37" t="e">
        <f t="shared" si="12"/>
        <v>#VALUE!</v>
      </c>
      <c r="AA109" s="38" t="e">
        <f t="shared" si="12"/>
        <v>#VALUE!</v>
      </c>
    </row>
    <row r="110" spans="1:27" x14ac:dyDescent="0.2">
      <c r="B110" s="15" t="s">
        <v>9</v>
      </c>
      <c r="I110" s="48" t="e">
        <f>GEOMEAN(I47:I62)</f>
        <v>#NUM!</v>
      </c>
      <c r="J110" s="48" t="e">
        <f>GEOMEAN(J47:J62)</f>
        <v>#NUM!</v>
      </c>
      <c r="Q110" s="48" t="e">
        <f>GEOMEAN(Q47:Q62)</f>
        <v>#NUM!</v>
      </c>
      <c r="R110" s="48" t="e">
        <f>GEOMEAN(R47:R62)</f>
        <v>#NUM!</v>
      </c>
      <c r="S110" s="48" t="e">
        <f>GEOMEAN(S47:S62)</f>
        <v>#DIV/0!</v>
      </c>
      <c r="T110" s="48" t="e">
        <f>GEOMEAN(T47:T62)</f>
        <v>#DIV/0!</v>
      </c>
      <c r="V110" s="33" t="e">
        <f t="shared" ref="V110:AA110" si="13">AVERAGE(V47:V62)</f>
        <v>#VALUE!</v>
      </c>
      <c r="W110" s="37" t="e">
        <f t="shared" si="13"/>
        <v>#VALUE!</v>
      </c>
      <c r="X110" s="37" t="e">
        <f t="shared" si="13"/>
        <v>#VALUE!</v>
      </c>
      <c r="Y110" s="33" t="e">
        <f t="shared" si="13"/>
        <v>#VALUE!</v>
      </c>
      <c r="Z110" s="37" t="e">
        <f t="shared" si="13"/>
        <v>#VALUE!</v>
      </c>
      <c r="AA110" s="38" t="e">
        <f t="shared" si="13"/>
        <v>#VALUE!</v>
      </c>
    </row>
    <row r="111" spans="1:27" x14ac:dyDescent="0.2">
      <c r="B111" s="15" t="s">
        <v>12</v>
      </c>
      <c r="I111" s="48" t="e">
        <f>GEOMEAN(I63:I78)</f>
        <v>#NUM!</v>
      </c>
      <c r="J111" s="48" t="e">
        <f>GEOMEAN(J63:J78)</f>
        <v>#NUM!</v>
      </c>
      <c r="Q111" s="48" t="e">
        <f>GEOMEAN(Q63:Q78)</f>
        <v>#NUM!</v>
      </c>
      <c r="R111" s="48" t="e">
        <f>GEOMEAN(R63:R78)</f>
        <v>#NUM!</v>
      </c>
      <c r="S111" s="48" t="e">
        <f>GEOMEAN(S63:S78)</f>
        <v>#DIV/0!</v>
      </c>
      <c r="T111" s="48" t="e">
        <f>GEOMEAN(T63:T78)</f>
        <v>#DIV/0!</v>
      </c>
      <c r="V111" s="33" t="e">
        <f t="shared" ref="V111:AA111" si="14">AVERAGE(V63:V78)</f>
        <v>#VALUE!</v>
      </c>
      <c r="W111" s="37" t="e">
        <f t="shared" si="14"/>
        <v>#VALUE!</v>
      </c>
      <c r="X111" s="37" t="e">
        <f t="shared" si="14"/>
        <v>#VALUE!</v>
      </c>
      <c r="Y111" s="33" t="e">
        <f t="shared" si="14"/>
        <v>#VALUE!</v>
      </c>
      <c r="Z111" s="37" t="e">
        <f t="shared" si="14"/>
        <v>#VALUE!</v>
      </c>
      <c r="AA111" s="38" t="e">
        <f t="shared" si="14"/>
        <v>#VALUE!</v>
      </c>
    </row>
    <row r="112" spans="1:27" x14ac:dyDescent="0.2">
      <c r="B112" s="15" t="s">
        <v>10</v>
      </c>
      <c r="I112" s="48" t="e">
        <f>GEOMEAN(I79:I90)</f>
        <v>#NUM!</v>
      </c>
      <c r="J112" s="48" t="e">
        <f>GEOMEAN(J79:J90)</f>
        <v>#NUM!</v>
      </c>
      <c r="Q112" s="48" t="e">
        <f>GEOMEAN(Q79:Q90)</f>
        <v>#NUM!</v>
      </c>
      <c r="R112" s="48" t="e">
        <f>GEOMEAN(R79:R90)</f>
        <v>#NUM!</v>
      </c>
      <c r="S112" s="48" t="e">
        <f>GEOMEAN(S79:S90)</f>
        <v>#DIV/0!</v>
      </c>
      <c r="T112" s="48" t="e">
        <f>GEOMEAN(T79:T90)</f>
        <v>#DIV/0!</v>
      </c>
      <c r="V112" s="33" t="e">
        <f t="shared" ref="V112:AA112" si="15">AVERAGE(V79:V88)</f>
        <v>#VALUE!</v>
      </c>
      <c r="W112" s="37" t="e">
        <f t="shared" si="15"/>
        <v>#VALUE!</v>
      </c>
      <c r="X112" s="37" t="e">
        <f t="shared" si="15"/>
        <v>#VALUE!</v>
      </c>
      <c r="Y112" s="33" t="e">
        <f t="shared" si="15"/>
        <v>#VALUE!</v>
      </c>
      <c r="Z112" s="37" t="e">
        <f t="shared" si="15"/>
        <v>#VALUE!</v>
      </c>
      <c r="AA112" s="38" t="e">
        <f t="shared" si="15"/>
        <v>#VALUE!</v>
      </c>
    </row>
    <row r="113" spans="1:27" ht="12.75" customHeight="1" thickBot="1" x14ac:dyDescent="0.25">
      <c r="B113" s="15" t="s">
        <v>13</v>
      </c>
      <c r="I113" s="48" t="e">
        <f>GEOMEAN(I91:I106)</f>
        <v>#NUM!</v>
      </c>
      <c r="J113" s="48" t="e">
        <f>GEOMEAN(J91:J106)</f>
        <v>#NUM!</v>
      </c>
      <c r="Q113" s="48" t="e">
        <f>GEOMEAN(Q91:Q106)</f>
        <v>#NUM!</v>
      </c>
      <c r="R113" s="48" t="e">
        <f>GEOMEAN(R91:R106)</f>
        <v>#NUM!</v>
      </c>
      <c r="S113" s="48" t="e">
        <f>GEOMEAN(S91:S106)</f>
        <v>#DIV/0!</v>
      </c>
      <c r="T113" s="48" t="e">
        <f>GEOMEAN(T91:T106)</f>
        <v>#DIV/0!</v>
      </c>
      <c r="V113" s="33" t="e">
        <f t="shared" ref="V113:AA113" si="16">AVERAGE(V91:V106)</f>
        <v>#VALUE!</v>
      </c>
      <c r="W113" s="37" t="e">
        <f t="shared" si="16"/>
        <v>#VALUE!</v>
      </c>
      <c r="X113" s="37" t="e">
        <f t="shared" si="16"/>
        <v>#VALUE!</v>
      </c>
      <c r="Y113" s="33" t="e">
        <f t="shared" si="16"/>
        <v>#VALUE!</v>
      </c>
      <c r="Z113" s="37" t="e">
        <f t="shared" si="16"/>
        <v>#VALUE!</v>
      </c>
      <c r="AA113" s="38" t="e">
        <f t="shared" si="16"/>
        <v>#VALUE!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 t="e">
        <f>GEOMEAN(I3:I62,I79:I90)</f>
        <v>#NUM!</v>
      </c>
      <c r="J114" s="50" t="e">
        <f>GEOMEAN(J3:J62,J79:J90)</f>
        <v>#NUM!</v>
      </c>
      <c r="K114" s="2"/>
      <c r="L114" s="2"/>
      <c r="M114" s="2"/>
      <c r="N114" s="2"/>
      <c r="O114" s="2"/>
      <c r="P114" s="2"/>
      <c r="Q114" s="50" t="e">
        <f>GEOMEAN(Q3:Q62,Q79:Q90)</f>
        <v>#NUM!</v>
      </c>
      <c r="R114" s="50" t="e">
        <f>GEOMEAN(R3:R62,R79:R90)</f>
        <v>#NUM!</v>
      </c>
      <c r="S114" s="50" t="e">
        <f>GEOMEAN(S3:S62,S79:S90)</f>
        <v>#DIV/0!</v>
      </c>
      <c r="T114" s="50" t="e">
        <f>GEOMEAN(T3:T62,T79:T90)</f>
        <v>#DIV/0!</v>
      </c>
      <c r="U114" s="2"/>
      <c r="V114" s="34" t="e">
        <f t="shared" ref="V114:AA114" si="17">AVERAGE(V3:V62,V79:V90)</f>
        <v>#VALUE!</v>
      </c>
      <c r="W114" s="39" t="e">
        <f t="shared" si="17"/>
        <v>#VALUE!</v>
      </c>
      <c r="X114" s="39" t="e">
        <f t="shared" si="17"/>
        <v>#VALUE!</v>
      </c>
      <c r="Y114" s="34" t="e">
        <f t="shared" si="17"/>
        <v>#VALUE!</v>
      </c>
      <c r="Z114" s="39" t="e">
        <f t="shared" si="17"/>
        <v>#VALUE!</v>
      </c>
      <c r="AA114" s="40" t="e">
        <f t="shared" si="17"/>
        <v>#VALUE!</v>
      </c>
    </row>
    <row r="115" spans="1:27" x14ac:dyDescent="0.2">
      <c r="B115" s="15" t="s">
        <v>78</v>
      </c>
      <c r="I115" s="81" t="e">
        <f>GEOMEAN(I3:I106)</f>
        <v>#NUM!</v>
      </c>
      <c r="J115" s="81" t="e">
        <f>GEOMEAN(J3:J106)</f>
        <v>#NUM!</v>
      </c>
      <c r="Q115" s="81" t="e">
        <f>GEOMEAN(Q3:Q106)</f>
        <v>#NUM!</v>
      </c>
      <c r="R115" s="81" t="e">
        <f>GEOMEAN(R3:R106)</f>
        <v>#NUM!</v>
      </c>
      <c r="S115" s="81"/>
      <c r="T115" s="81"/>
    </row>
    <row r="116" spans="1:27" x14ac:dyDescent="0.2">
      <c r="B116" s="15" t="s">
        <v>79</v>
      </c>
      <c r="Q116" s="19" t="e">
        <f>Q115/I115</f>
        <v>#NUM!</v>
      </c>
      <c r="R116" s="19" t="e">
        <f>R115/J115</f>
        <v>#NUM!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A117"/>
  <sheetViews>
    <sheetView workbookViewId="0">
      <selection activeCell="B95" sqref="B95"/>
    </sheetView>
  </sheetViews>
  <sheetFormatPr defaultColWidth="10.875" defaultRowHeight="12" x14ac:dyDescent="0.2"/>
  <cols>
    <col min="1" max="1" width="8.375" style="15" customWidth="1"/>
    <col min="2" max="2" width="14.875" style="15" customWidth="1"/>
    <col min="3" max="3" width="7.875" style="15" customWidth="1"/>
    <col min="4" max="4" width="9.875" style="15" customWidth="1"/>
    <col min="5" max="7" width="6.875" style="15" customWidth="1"/>
    <col min="8" max="10" width="8.875" style="15" customWidth="1"/>
    <col min="11" max="11" width="2.875" style="15" customWidth="1"/>
    <col min="12" max="12" width="9.875" style="15" customWidth="1"/>
    <col min="13" max="15" width="6.875" style="15" customWidth="1"/>
    <col min="16" max="18" width="8.875" style="15" customWidth="1"/>
    <col min="19" max="20" width="5.125" style="15" customWidth="1"/>
    <col min="21" max="21" width="2.875" style="15" customWidth="1"/>
    <col min="22" max="27" width="8.875" style="15" customWidth="1"/>
    <col min="28" max="28" width="10.875" style="15" customWidth="1"/>
    <col min="29" max="16384" width="10.875" style="15"/>
  </cols>
  <sheetData>
    <row r="1" spans="1:27" ht="12.75" customHeight="1" thickBot="1" x14ac:dyDescent="0.25">
      <c r="D1" s="133" t="s">
        <v>59</v>
      </c>
      <c r="E1" s="134"/>
      <c r="F1" s="134"/>
      <c r="G1" s="134"/>
      <c r="H1" s="134"/>
      <c r="I1" s="134"/>
      <c r="J1" s="135"/>
      <c r="L1" s="133" t="s">
        <v>60</v>
      </c>
      <c r="M1" s="134"/>
      <c r="N1" s="134"/>
      <c r="O1" s="134"/>
      <c r="P1" s="134"/>
      <c r="Q1" s="134"/>
      <c r="R1" s="135"/>
      <c r="S1" s="27"/>
      <c r="T1" s="27"/>
      <c r="U1" s="5"/>
      <c r="V1" s="133" t="s">
        <v>61</v>
      </c>
      <c r="W1" s="134"/>
      <c r="X1" s="135"/>
      <c r="Y1" s="133" t="s">
        <v>62</v>
      </c>
      <c r="Z1" s="134"/>
      <c r="AA1" s="135"/>
    </row>
    <row r="2" spans="1:27" ht="12.75" customHeight="1" thickBot="1" x14ac:dyDescent="0.25">
      <c r="A2" s="46"/>
      <c r="B2" s="42"/>
      <c r="C2" s="41" t="s">
        <v>63</v>
      </c>
      <c r="D2" s="6" t="s">
        <v>23</v>
      </c>
      <c r="E2" s="7" t="s">
        <v>24</v>
      </c>
      <c r="F2" s="7" t="s">
        <v>25</v>
      </c>
      <c r="G2" s="7" t="s">
        <v>26</v>
      </c>
      <c r="H2" s="7" t="s">
        <v>64</v>
      </c>
      <c r="I2" s="7" t="s">
        <v>65</v>
      </c>
      <c r="J2" s="8" t="s">
        <v>66</v>
      </c>
      <c r="K2" s="5"/>
      <c r="L2" s="6" t="s">
        <v>23</v>
      </c>
      <c r="M2" s="7" t="s">
        <v>24</v>
      </c>
      <c r="N2" s="7" t="s">
        <v>25</v>
      </c>
      <c r="O2" s="7" t="s">
        <v>26</v>
      </c>
      <c r="P2" s="7" t="s">
        <v>64</v>
      </c>
      <c r="Q2" s="7" t="s">
        <v>65</v>
      </c>
      <c r="R2" s="8" t="s">
        <v>66</v>
      </c>
      <c r="S2" s="5" t="s">
        <v>81</v>
      </c>
      <c r="T2" s="5" t="s">
        <v>82</v>
      </c>
      <c r="U2" s="5"/>
      <c r="V2" s="6" t="s">
        <v>1</v>
      </c>
      <c r="W2" s="7" t="s">
        <v>2</v>
      </c>
      <c r="X2" s="8" t="s">
        <v>3</v>
      </c>
      <c r="Y2" s="6" t="s">
        <v>1</v>
      </c>
      <c r="Z2" s="7" t="s">
        <v>2</v>
      </c>
      <c r="AA2" s="8" t="s">
        <v>3</v>
      </c>
    </row>
    <row r="3" spans="1:27" x14ac:dyDescent="0.2">
      <c r="A3" s="24" t="s">
        <v>6</v>
      </c>
      <c r="B3" s="24" t="s">
        <v>22</v>
      </c>
      <c r="C3" s="24">
        <v>22</v>
      </c>
      <c r="D3" s="9"/>
      <c r="E3" s="10"/>
      <c r="F3" s="10"/>
      <c r="G3" s="10"/>
      <c r="H3" s="10"/>
      <c r="I3" s="10"/>
      <c r="J3" s="11"/>
      <c r="L3" s="9"/>
      <c r="M3" s="10"/>
      <c r="N3" s="10"/>
      <c r="O3" s="10"/>
      <c r="P3" s="10"/>
      <c r="Q3" s="10"/>
      <c r="R3" s="11"/>
      <c r="S3" s="10"/>
      <c r="T3" s="10"/>
      <c r="U3" s="47"/>
      <c r="V3" s="30"/>
      <c r="W3" s="35"/>
      <c r="X3" s="36"/>
      <c r="Y3" s="30"/>
      <c r="Z3" s="35"/>
      <c r="AA3" s="36"/>
    </row>
    <row r="4" spans="1:27" x14ac:dyDescent="0.2">
      <c r="A4" s="25" t="s">
        <v>69</v>
      </c>
      <c r="B4" s="25"/>
      <c r="C4" s="25">
        <v>27</v>
      </c>
      <c r="D4" s="12"/>
      <c r="E4" s="13"/>
      <c r="F4" s="13"/>
      <c r="G4" s="13"/>
      <c r="H4" s="13"/>
      <c r="I4" s="13"/>
      <c r="J4" s="14"/>
      <c r="L4" s="12"/>
      <c r="M4" s="13"/>
      <c r="N4" s="13"/>
      <c r="O4" s="13"/>
      <c r="P4" s="13"/>
      <c r="Q4" s="13"/>
      <c r="R4" s="14"/>
      <c r="S4" s="13"/>
      <c r="T4" s="13"/>
      <c r="U4" s="48"/>
      <c r="V4" s="31"/>
      <c r="W4" s="29"/>
      <c r="X4" s="43"/>
      <c r="Y4" s="31"/>
      <c r="Z4" s="29"/>
      <c r="AA4" s="43"/>
    </row>
    <row r="5" spans="1:27" x14ac:dyDescent="0.2">
      <c r="A5" s="25"/>
      <c r="B5" s="25"/>
      <c r="C5" s="25">
        <v>32</v>
      </c>
      <c r="D5" s="12"/>
      <c r="E5" s="13"/>
      <c r="F5" s="13"/>
      <c r="G5" s="13"/>
      <c r="H5" s="13"/>
      <c r="I5" s="13"/>
      <c r="J5" s="14"/>
      <c r="L5" s="12"/>
      <c r="M5" s="13"/>
      <c r="N5" s="13"/>
      <c r="O5" s="13"/>
      <c r="P5" s="13"/>
      <c r="Q5" s="13"/>
      <c r="R5" s="14"/>
      <c r="S5" s="13"/>
      <c r="T5" s="13"/>
      <c r="U5" s="48"/>
      <c r="V5" s="31"/>
      <c r="W5" s="29"/>
      <c r="X5" s="43"/>
      <c r="Y5" s="31"/>
      <c r="Z5" s="29"/>
      <c r="AA5" s="43"/>
    </row>
    <row r="6" spans="1:27" ht="12.75" customHeight="1" thickBot="1" x14ac:dyDescent="0.25">
      <c r="A6" s="25"/>
      <c r="B6" s="26"/>
      <c r="C6" s="26">
        <v>37</v>
      </c>
      <c r="D6" s="16"/>
      <c r="E6" s="17"/>
      <c r="F6" s="17"/>
      <c r="G6" s="17"/>
      <c r="H6" s="17"/>
      <c r="I6" s="17"/>
      <c r="J6" s="18"/>
      <c r="L6" s="16"/>
      <c r="M6" s="17"/>
      <c r="N6" s="17"/>
      <c r="O6" s="17"/>
      <c r="P6" s="17"/>
      <c r="Q6" s="17"/>
      <c r="R6" s="18"/>
      <c r="S6" s="13"/>
      <c r="T6" s="13"/>
      <c r="U6" s="48"/>
      <c r="V6" s="32"/>
      <c r="W6" s="44"/>
      <c r="X6" s="45"/>
      <c r="Y6" s="32"/>
      <c r="Z6" s="44"/>
      <c r="AA6" s="45"/>
    </row>
    <row r="7" spans="1:27" x14ac:dyDescent="0.2">
      <c r="A7" s="25"/>
      <c r="B7" s="24" t="s">
        <v>28</v>
      </c>
      <c r="C7" s="24">
        <v>22</v>
      </c>
      <c r="D7" s="9"/>
      <c r="E7" s="10"/>
      <c r="F7" s="10"/>
      <c r="G7" s="10"/>
      <c r="H7" s="10"/>
      <c r="I7" s="10"/>
      <c r="J7" s="11"/>
      <c r="L7" s="9"/>
      <c r="M7" s="10"/>
      <c r="N7" s="10"/>
      <c r="O7" s="10"/>
      <c r="P7" s="10"/>
      <c r="Q7" s="10"/>
      <c r="R7" s="11"/>
      <c r="S7" s="13"/>
      <c r="T7" s="13"/>
      <c r="U7" s="48"/>
      <c r="V7" s="30"/>
      <c r="W7" s="35"/>
      <c r="X7" s="35"/>
      <c r="Y7" s="33"/>
      <c r="Z7" s="37"/>
      <c r="AA7" s="38"/>
    </row>
    <row r="8" spans="1:27" x14ac:dyDescent="0.2">
      <c r="A8" s="25"/>
      <c r="B8" s="25"/>
      <c r="C8" s="25">
        <v>27</v>
      </c>
      <c r="D8" s="12"/>
      <c r="E8" s="13"/>
      <c r="F8" s="13"/>
      <c r="G8" s="13"/>
      <c r="H8" s="13"/>
      <c r="I8" s="13"/>
      <c r="J8" s="14"/>
      <c r="L8" s="12"/>
      <c r="M8" s="13"/>
      <c r="N8" s="13"/>
      <c r="O8" s="13"/>
      <c r="P8" s="13"/>
      <c r="Q8" s="13"/>
      <c r="R8" s="14"/>
      <c r="S8" s="13"/>
      <c r="T8" s="13"/>
      <c r="U8" s="48"/>
      <c r="V8" s="31"/>
      <c r="W8" s="29"/>
      <c r="X8" s="29"/>
      <c r="Y8" s="31"/>
      <c r="Z8" s="29"/>
      <c r="AA8" s="43"/>
    </row>
    <row r="9" spans="1:27" x14ac:dyDescent="0.2">
      <c r="A9" s="25"/>
      <c r="B9" s="25"/>
      <c r="C9" s="25">
        <v>32</v>
      </c>
      <c r="D9" s="12"/>
      <c r="E9" s="13"/>
      <c r="F9" s="13"/>
      <c r="G9" s="13"/>
      <c r="H9" s="13"/>
      <c r="I9" s="13"/>
      <c r="J9" s="14"/>
      <c r="L9" s="12"/>
      <c r="M9" s="13"/>
      <c r="N9" s="13"/>
      <c r="O9" s="13"/>
      <c r="P9" s="13"/>
      <c r="Q9" s="13"/>
      <c r="R9" s="14"/>
      <c r="S9" s="13"/>
      <c r="T9" s="13"/>
      <c r="U9" s="48"/>
      <c r="V9" s="31"/>
      <c r="W9" s="29"/>
      <c r="X9" s="29"/>
      <c r="Y9" s="31"/>
      <c r="Z9" s="29"/>
      <c r="AA9" s="43"/>
    </row>
    <row r="10" spans="1:27" ht="12.75" customHeight="1" thickBot="1" x14ac:dyDescent="0.25">
      <c r="A10" s="25"/>
      <c r="B10" s="26"/>
      <c r="C10" s="26">
        <v>37</v>
      </c>
      <c r="D10" s="16"/>
      <c r="E10" s="17"/>
      <c r="F10" s="17"/>
      <c r="G10" s="17"/>
      <c r="H10" s="17"/>
      <c r="I10" s="17"/>
      <c r="J10" s="18"/>
      <c r="L10" s="16"/>
      <c r="M10" s="17"/>
      <c r="N10" s="17"/>
      <c r="O10" s="17"/>
      <c r="P10" s="17"/>
      <c r="Q10" s="17"/>
      <c r="R10" s="18"/>
      <c r="S10" s="13"/>
      <c r="T10" s="13"/>
      <c r="U10" s="48"/>
      <c r="V10" s="32"/>
      <c r="W10" s="44"/>
      <c r="X10" s="44"/>
      <c r="Y10" s="32"/>
      <c r="Z10" s="44"/>
      <c r="AA10" s="45"/>
    </row>
    <row r="11" spans="1:27" x14ac:dyDescent="0.2">
      <c r="A11" s="25"/>
      <c r="B11" s="24" t="s">
        <v>30</v>
      </c>
      <c r="C11" s="24">
        <v>22</v>
      </c>
      <c r="D11" s="9"/>
      <c r="E11" s="10"/>
      <c r="F11" s="10"/>
      <c r="G11" s="10"/>
      <c r="H11" s="10"/>
      <c r="I11" s="10"/>
      <c r="J11" s="11"/>
      <c r="L11" s="9"/>
      <c r="M11" s="10"/>
      <c r="N11" s="10"/>
      <c r="O11" s="10"/>
      <c r="P11" s="10"/>
      <c r="Q11" s="10"/>
      <c r="R11" s="11"/>
      <c r="S11" s="13"/>
      <c r="T11" s="13"/>
      <c r="U11" s="48"/>
      <c r="V11" s="30"/>
      <c r="W11" s="35"/>
      <c r="X11" s="35"/>
      <c r="Y11" s="33"/>
      <c r="Z11" s="37"/>
      <c r="AA11" s="38"/>
    </row>
    <row r="12" spans="1:27" x14ac:dyDescent="0.2">
      <c r="A12" s="25"/>
      <c r="B12" s="25"/>
      <c r="C12" s="25">
        <v>27</v>
      </c>
      <c r="D12" s="12"/>
      <c r="E12" s="13"/>
      <c r="F12" s="13"/>
      <c r="G12" s="13"/>
      <c r="H12" s="13"/>
      <c r="I12" s="13"/>
      <c r="J12" s="14"/>
      <c r="L12" s="12"/>
      <c r="M12" s="13"/>
      <c r="N12" s="13"/>
      <c r="O12" s="13"/>
      <c r="P12" s="13"/>
      <c r="Q12" s="13"/>
      <c r="R12" s="14"/>
      <c r="S12" s="13"/>
      <c r="T12" s="13"/>
      <c r="U12" s="48"/>
      <c r="V12" s="31"/>
      <c r="W12" s="29"/>
      <c r="X12" s="29"/>
      <c r="Y12" s="31"/>
      <c r="Z12" s="29"/>
      <c r="AA12" s="43"/>
    </row>
    <row r="13" spans="1:27" x14ac:dyDescent="0.2">
      <c r="A13" s="25"/>
      <c r="B13" s="25"/>
      <c r="C13" s="25">
        <v>32</v>
      </c>
      <c r="D13" s="12"/>
      <c r="E13" s="13"/>
      <c r="F13" s="13"/>
      <c r="G13" s="13"/>
      <c r="H13" s="13"/>
      <c r="I13" s="13"/>
      <c r="J13" s="14"/>
      <c r="L13" s="12"/>
      <c r="M13" s="13"/>
      <c r="N13" s="13"/>
      <c r="O13" s="13"/>
      <c r="P13" s="13"/>
      <c r="Q13" s="13"/>
      <c r="R13" s="14"/>
      <c r="S13" s="13"/>
      <c r="T13" s="13"/>
      <c r="U13" s="48"/>
      <c r="V13" s="31"/>
      <c r="W13" s="29"/>
      <c r="X13" s="29"/>
      <c r="Y13" s="31"/>
      <c r="Z13" s="29"/>
      <c r="AA13" s="43"/>
    </row>
    <row r="14" spans="1:27" ht="12.75" customHeight="1" thickBot="1" x14ac:dyDescent="0.25">
      <c r="A14" s="25"/>
      <c r="B14" s="26"/>
      <c r="C14" s="26">
        <v>37</v>
      </c>
      <c r="D14" s="16"/>
      <c r="E14" s="17"/>
      <c r="F14" s="17"/>
      <c r="G14" s="17"/>
      <c r="H14" s="17"/>
      <c r="I14" s="17"/>
      <c r="J14" s="18"/>
      <c r="L14" s="16"/>
      <c r="M14" s="17"/>
      <c r="N14" s="17"/>
      <c r="O14" s="17"/>
      <c r="P14" s="17"/>
      <c r="Q14" s="17"/>
      <c r="R14" s="18"/>
      <c r="S14" s="13"/>
      <c r="T14" s="13"/>
      <c r="U14" s="48"/>
      <c r="V14" s="32"/>
      <c r="W14" s="44"/>
      <c r="X14" s="44"/>
      <c r="Y14" s="32"/>
      <c r="Z14" s="44"/>
      <c r="AA14" s="45"/>
    </row>
    <row r="15" spans="1:27" x14ac:dyDescent="0.2">
      <c r="A15" s="24" t="s">
        <v>7</v>
      </c>
      <c r="B15" s="24" t="s">
        <v>32</v>
      </c>
      <c r="C15" s="24">
        <v>22</v>
      </c>
      <c r="D15" s="9"/>
      <c r="E15" s="10"/>
      <c r="F15" s="10"/>
      <c r="G15" s="10"/>
      <c r="H15" s="10"/>
      <c r="I15" s="10"/>
      <c r="J15" s="11"/>
      <c r="L15" s="9"/>
      <c r="M15" s="10"/>
      <c r="N15" s="10"/>
      <c r="O15" s="10"/>
      <c r="P15" s="10"/>
      <c r="Q15" s="10"/>
      <c r="R15" s="11"/>
      <c r="S15" s="10"/>
      <c r="T15" s="10"/>
      <c r="U15" s="47"/>
      <c r="V15" s="30"/>
      <c r="W15" s="35"/>
      <c r="X15" s="36"/>
      <c r="Y15" s="30"/>
      <c r="Z15" s="35"/>
      <c r="AA15" s="36"/>
    </row>
    <row r="16" spans="1:27" x14ac:dyDescent="0.2">
      <c r="A16" s="25" t="s">
        <v>69</v>
      </c>
      <c r="B16" s="25"/>
      <c r="C16" s="25">
        <v>27</v>
      </c>
      <c r="D16" s="12"/>
      <c r="E16" s="13"/>
      <c r="F16" s="13"/>
      <c r="G16" s="13"/>
      <c r="H16" s="13"/>
      <c r="I16" s="13"/>
      <c r="J16" s="14"/>
      <c r="L16" s="12"/>
      <c r="M16" s="13"/>
      <c r="N16" s="13"/>
      <c r="O16" s="13"/>
      <c r="P16" s="13"/>
      <c r="Q16" s="13"/>
      <c r="R16" s="14"/>
      <c r="S16" s="13"/>
      <c r="T16" s="13"/>
      <c r="U16" s="48"/>
      <c r="V16" s="31"/>
      <c r="W16" s="29"/>
      <c r="X16" s="43"/>
      <c r="Y16" s="31"/>
      <c r="Z16" s="29"/>
      <c r="AA16" s="43"/>
    </row>
    <row r="17" spans="1:27" x14ac:dyDescent="0.2">
      <c r="A17" s="25"/>
      <c r="B17" s="25"/>
      <c r="C17" s="25">
        <v>32</v>
      </c>
      <c r="D17" s="12"/>
      <c r="E17" s="13"/>
      <c r="F17" s="13"/>
      <c r="G17" s="13"/>
      <c r="H17" s="13"/>
      <c r="I17" s="13"/>
      <c r="J17" s="14"/>
      <c r="L17" s="12"/>
      <c r="M17" s="13"/>
      <c r="N17" s="13"/>
      <c r="O17" s="13"/>
      <c r="P17" s="13"/>
      <c r="Q17" s="13"/>
      <c r="R17" s="14"/>
      <c r="S17" s="13"/>
      <c r="T17" s="13"/>
      <c r="U17" s="48"/>
      <c r="V17" s="31"/>
      <c r="W17" s="29"/>
      <c r="X17" s="43"/>
      <c r="Y17" s="31"/>
      <c r="Z17" s="29"/>
      <c r="AA17" s="43"/>
    </row>
    <row r="18" spans="1:27" ht="12.75" customHeight="1" thickBot="1" x14ac:dyDescent="0.25">
      <c r="A18" s="25"/>
      <c r="B18" s="26"/>
      <c r="C18" s="26">
        <v>37</v>
      </c>
      <c r="D18" s="16"/>
      <c r="E18" s="17"/>
      <c r="F18" s="17"/>
      <c r="G18" s="17"/>
      <c r="H18" s="17"/>
      <c r="I18" s="17"/>
      <c r="J18" s="18"/>
      <c r="L18" s="16"/>
      <c r="M18" s="17"/>
      <c r="N18" s="17"/>
      <c r="O18" s="17"/>
      <c r="P18" s="17"/>
      <c r="Q18" s="17"/>
      <c r="R18" s="18"/>
      <c r="S18" s="13"/>
      <c r="T18" s="13"/>
      <c r="U18" s="48"/>
      <c r="V18" s="32"/>
      <c r="W18" s="44"/>
      <c r="X18" s="45"/>
      <c r="Y18" s="32"/>
      <c r="Z18" s="44"/>
      <c r="AA18" s="45"/>
    </row>
    <row r="19" spans="1:27" x14ac:dyDescent="0.2">
      <c r="A19" s="25"/>
      <c r="B19" s="25" t="s">
        <v>33</v>
      </c>
      <c r="C19" s="24">
        <v>22</v>
      </c>
      <c r="D19" s="9"/>
      <c r="E19" s="10"/>
      <c r="F19" s="10"/>
      <c r="G19" s="10"/>
      <c r="H19" s="10"/>
      <c r="I19" s="10"/>
      <c r="J19" s="11"/>
      <c r="L19" s="9"/>
      <c r="M19" s="10"/>
      <c r="N19" s="10"/>
      <c r="O19" s="10"/>
      <c r="P19" s="10"/>
      <c r="Q19" s="10"/>
      <c r="R19" s="11"/>
      <c r="S19" s="13"/>
      <c r="T19" s="13"/>
      <c r="U19" s="48"/>
      <c r="V19" s="30"/>
      <c r="W19" s="35"/>
      <c r="X19" s="35"/>
      <c r="Y19" s="33"/>
      <c r="Z19" s="37"/>
      <c r="AA19" s="38"/>
    </row>
    <row r="20" spans="1:27" x14ac:dyDescent="0.2">
      <c r="A20" s="25"/>
      <c r="B20" s="25"/>
      <c r="C20" s="25">
        <v>27</v>
      </c>
      <c r="D20" s="12"/>
      <c r="E20" s="13"/>
      <c r="F20" s="13"/>
      <c r="G20" s="13"/>
      <c r="H20" s="13"/>
      <c r="I20" s="13"/>
      <c r="J20" s="14"/>
      <c r="L20" s="12"/>
      <c r="M20" s="13"/>
      <c r="N20" s="13"/>
      <c r="O20" s="13"/>
      <c r="P20" s="13"/>
      <c r="Q20" s="13"/>
      <c r="R20" s="14"/>
      <c r="S20" s="13"/>
      <c r="T20" s="13"/>
      <c r="U20" s="48"/>
      <c r="V20" s="31"/>
      <c r="W20" s="29"/>
      <c r="X20" s="29"/>
      <c r="Y20" s="31"/>
      <c r="Z20" s="29"/>
      <c r="AA20" s="43"/>
    </row>
    <row r="21" spans="1:27" x14ac:dyDescent="0.2">
      <c r="A21" s="25"/>
      <c r="B21" s="25"/>
      <c r="C21" s="25">
        <v>32</v>
      </c>
      <c r="D21" s="12"/>
      <c r="E21" s="13"/>
      <c r="F21" s="13"/>
      <c r="G21" s="13"/>
      <c r="H21" s="13"/>
      <c r="I21" s="13"/>
      <c r="J21" s="14"/>
      <c r="L21" s="12"/>
      <c r="M21" s="13"/>
      <c r="N21" s="13"/>
      <c r="O21" s="13"/>
      <c r="P21" s="13"/>
      <c r="Q21" s="13"/>
      <c r="R21" s="14"/>
      <c r="S21" s="13"/>
      <c r="T21" s="13"/>
      <c r="U21" s="48"/>
      <c r="V21" s="31"/>
      <c r="W21" s="29"/>
      <c r="X21" s="29"/>
      <c r="Y21" s="31"/>
      <c r="Z21" s="29"/>
      <c r="AA21" s="43"/>
    </row>
    <row r="22" spans="1:27" ht="12.75" customHeight="1" thickBot="1" x14ac:dyDescent="0.25">
      <c r="A22" s="25"/>
      <c r="B22" s="26"/>
      <c r="C22" s="26">
        <v>37</v>
      </c>
      <c r="D22" s="16"/>
      <c r="E22" s="17"/>
      <c r="F22" s="17"/>
      <c r="G22" s="17"/>
      <c r="H22" s="17"/>
      <c r="I22" s="17"/>
      <c r="J22" s="18"/>
      <c r="L22" s="16"/>
      <c r="M22" s="17"/>
      <c r="N22" s="17"/>
      <c r="O22" s="17"/>
      <c r="P22" s="17"/>
      <c r="Q22" s="17"/>
      <c r="R22" s="18"/>
      <c r="S22" s="13"/>
      <c r="T22" s="13"/>
      <c r="U22" s="48"/>
      <c r="V22" s="32"/>
      <c r="W22" s="44"/>
      <c r="X22" s="44"/>
      <c r="Y22" s="32"/>
      <c r="Z22" s="44"/>
      <c r="AA22" s="45"/>
    </row>
    <row r="23" spans="1:27" x14ac:dyDescent="0.2">
      <c r="A23" s="25"/>
      <c r="B23" s="25" t="s">
        <v>34</v>
      </c>
      <c r="C23" s="24">
        <v>22</v>
      </c>
      <c r="D23" s="9"/>
      <c r="E23" s="10"/>
      <c r="F23" s="10"/>
      <c r="G23" s="10"/>
      <c r="H23" s="10"/>
      <c r="I23" s="10"/>
      <c r="J23" s="11"/>
      <c r="L23" s="9"/>
      <c r="M23" s="10"/>
      <c r="N23" s="10"/>
      <c r="O23" s="10"/>
      <c r="P23" s="10"/>
      <c r="Q23" s="10"/>
      <c r="R23" s="11"/>
      <c r="S23" s="13"/>
      <c r="T23" s="13"/>
      <c r="U23" s="48"/>
      <c r="V23" s="30"/>
      <c r="W23" s="35"/>
      <c r="X23" s="35"/>
      <c r="Y23" s="33"/>
      <c r="Z23" s="37"/>
      <c r="AA23" s="38"/>
    </row>
    <row r="24" spans="1:27" x14ac:dyDescent="0.2">
      <c r="A24" s="25"/>
      <c r="B24" s="25"/>
      <c r="C24" s="25">
        <v>27</v>
      </c>
      <c r="D24" s="12"/>
      <c r="E24" s="13"/>
      <c r="F24" s="13"/>
      <c r="G24" s="13"/>
      <c r="H24" s="13"/>
      <c r="I24" s="13"/>
      <c r="J24" s="14"/>
      <c r="L24" s="12"/>
      <c r="M24" s="13"/>
      <c r="N24" s="13"/>
      <c r="O24" s="13"/>
      <c r="P24" s="13"/>
      <c r="Q24" s="13"/>
      <c r="R24" s="14"/>
      <c r="S24" s="13"/>
      <c r="T24" s="13"/>
      <c r="U24" s="48"/>
      <c r="V24" s="31"/>
      <c r="W24" s="29"/>
      <c r="X24" s="29"/>
      <c r="Y24" s="31"/>
      <c r="Z24" s="29"/>
      <c r="AA24" s="43"/>
    </row>
    <row r="25" spans="1:27" x14ac:dyDescent="0.2">
      <c r="A25" s="25"/>
      <c r="B25" s="25"/>
      <c r="C25" s="25">
        <v>32</v>
      </c>
      <c r="D25" s="12"/>
      <c r="E25" s="13"/>
      <c r="F25" s="13"/>
      <c r="G25" s="13"/>
      <c r="H25" s="13"/>
      <c r="I25" s="13"/>
      <c r="J25" s="14"/>
      <c r="L25" s="12"/>
      <c r="M25" s="13"/>
      <c r="N25" s="13"/>
      <c r="O25" s="13"/>
      <c r="P25" s="13"/>
      <c r="Q25" s="13"/>
      <c r="R25" s="14"/>
      <c r="S25" s="13"/>
      <c r="T25" s="13"/>
      <c r="U25" s="48"/>
      <c r="V25" s="31"/>
      <c r="W25" s="29"/>
      <c r="X25" s="29"/>
      <c r="Y25" s="31"/>
      <c r="Z25" s="29"/>
      <c r="AA25" s="43"/>
    </row>
    <row r="26" spans="1:27" ht="12.75" customHeight="1" thickBot="1" x14ac:dyDescent="0.25">
      <c r="A26" s="25"/>
      <c r="B26" s="26"/>
      <c r="C26" s="26">
        <v>37</v>
      </c>
      <c r="D26" s="16"/>
      <c r="E26" s="17"/>
      <c r="F26" s="17"/>
      <c r="G26" s="17"/>
      <c r="H26" s="17"/>
      <c r="I26" s="17"/>
      <c r="J26" s="18"/>
      <c r="L26" s="16"/>
      <c r="M26" s="17"/>
      <c r="N26" s="17"/>
      <c r="O26" s="17"/>
      <c r="P26" s="17"/>
      <c r="Q26" s="17"/>
      <c r="R26" s="18"/>
      <c r="S26" s="13"/>
      <c r="T26" s="13"/>
      <c r="U26" s="48"/>
      <c r="V26" s="32"/>
      <c r="W26" s="44"/>
      <c r="X26" s="44"/>
      <c r="Y26" s="32"/>
      <c r="Z26" s="44"/>
      <c r="AA26" s="45"/>
    </row>
    <row r="27" spans="1:27" x14ac:dyDescent="0.2">
      <c r="A27" s="24" t="s">
        <v>8</v>
      </c>
      <c r="B27" s="24" t="s">
        <v>35</v>
      </c>
      <c r="C27" s="24">
        <v>22</v>
      </c>
      <c r="D27" s="9">
        <f>Reference!B337</f>
        <v>0</v>
      </c>
      <c r="E27" s="10">
        <f>Reference!C337</f>
        <v>0</v>
      </c>
      <c r="F27" s="10">
        <f>Reference!D337</f>
        <v>0</v>
      </c>
      <c r="G27" s="10">
        <f>Reference!E337</f>
        <v>0</v>
      </c>
      <c r="H27" s="10">
        <f>Reference!F337</f>
        <v>0</v>
      </c>
      <c r="I27" s="10">
        <f>Reference!G337</f>
        <v>0</v>
      </c>
      <c r="J27" s="11">
        <f t="shared" ref="J27:J58" si="0">H27/3600</f>
        <v>0</v>
      </c>
      <c r="L27" s="9">
        <f>Test!B337</f>
        <v>0</v>
      </c>
      <c r="M27" s="10">
        <f>Test!C337</f>
        <v>0</v>
      </c>
      <c r="N27" s="10">
        <f>Test!D337</f>
        <v>0</v>
      </c>
      <c r="O27" s="10">
        <f>Test!E337</f>
        <v>0</v>
      </c>
      <c r="P27" s="10">
        <f>Test!F337</f>
        <v>0</v>
      </c>
      <c r="Q27" s="10">
        <f>Test!G337</f>
        <v>0</v>
      </c>
      <c r="R27" s="11">
        <f t="shared" ref="R27:R58" si="1">P27/3600</f>
        <v>0</v>
      </c>
      <c r="S27" s="10" t="e">
        <f t="shared" ref="S27:S58" si="2">P27/H27</f>
        <v>#DIV/0!</v>
      </c>
      <c r="T27" s="10" t="e">
        <f t="shared" ref="T27:T58" si="3">Q27/I27</f>
        <v>#DIV/0!</v>
      </c>
      <c r="U27" s="47"/>
      <c r="V27" s="30" t="e">
        <f>bdrate($D27:$D30,E27:E30,$L27:$L30,M27:M30)</f>
        <v>#VALUE!</v>
      </c>
      <c r="W27" s="35" t="e">
        <f>bdrate($D27:$D30,F27:F30,$L27:$L30,N27:N30)</f>
        <v>#VALUE!</v>
      </c>
      <c r="X27" s="36" t="e">
        <f>bdrate($D27:$D30,G27:G30,$L27:$L30,O27:O30)</f>
        <v>#VALUE!</v>
      </c>
      <c r="Y27" s="30" t="e">
        <f>bdrateOld($D27:$D30,E27:E30,$L27:$L30,M27:M30)</f>
        <v>#VALUE!</v>
      </c>
      <c r="Z27" s="35" t="e">
        <f>bdrateOld($D27:$D30,F27:F30,$L27:$L30,N27:N30)</f>
        <v>#VALUE!</v>
      </c>
      <c r="AA27" s="36" t="e">
        <f>bdrateOld($D27:$D30,G27:G30,$L27:$L30,O27:O30)</f>
        <v>#VALUE!</v>
      </c>
    </row>
    <row r="28" spans="1:27" x14ac:dyDescent="0.2">
      <c r="A28" s="25" t="s">
        <v>70</v>
      </c>
      <c r="B28" s="25"/>
      <c r="C28" s="25">
        <v>27</v>
      </c>
      <c r="D28" s="12">
        <f>Reference!B338</f>
        <v>0</v>
      </c>
      <c r="E28" s="13">
        <f>Reference!C338</f>
        <v>0</v>
      </c>
      <c r="F28" s="13">
        <f>Reference!D338</f>
        <v>0</v>
      </c>
      <c r="G28" s="13">
        <f>Reference!E338</f>
        <v>0</v>
      </c>
      <c r="H28" s="13">
        <f>Reference!F338</f>
        <v>0</v>
      </c>
      <c r="I28" s="13">
        <f>Reference!G338</f>
        <v>0</v>
      </c>
      <c r="J28" s="14">
        <f t="shared" si="0"/>
        <v>0</v>
      </c>
      <c r="L28" s="12">
        <f>Test!B338</f>
        <v>0</v>
      </c>
      <c r="M28" s="13">
        <f>Test!C338</f>
        <v>0</v>
      </c>
      <c r="N28" s="13">
        <f>Test!D338</f>
        <v>0</v>
      </c>
      <c r="O28" s="13">
        <f>Test!E338</f>
        <v>0</v>
      </c>
      <c r="P28" s="13">
        <f>Test!F338</f>
        <v>0</v>
      </c>
      <c r="Q28" s="13">
        <f>Test!G338</f>
        <v>0</v>
      </c>
      <c r="R28" s="14">
        <f t="shared" si="1"/>
        <v>0</v>
      </c>
      <c r="S28" s="13" t="e">
        <f t="shared" si="2"/>
        <v>#DIV/0!</v>
      </c>
      <c r="T28" s="13" t="e">
        <f t="shared" si="3"/>
        <v>#DIV/0!</v>
      </c>
      <c r="U28" s="48"/>
      <c r="V28" s="31"/>
      <c r="W28" s="29"/>
      <c r="X28" s="43"/>
      <c r="Y28" s="31"/>
      <c r="Z28" s="29"/>
      <c r="AA28" s="43"/>
    </row>
    <row r="29" spans="1:27" x14ac:dyDescent="0.2">
      <c r="A29" s="25"/>
      <c r="B29" s="25"/>
      <c r="C29" s="25">
        <v>32</v>
      </c>
      <c r="D29" s="12">
        <f>Reference!B339</f>
        <v>0</v>
      </c>
      <c r="E29" s="13">
        <f>Reference!C339</f>
        <v>0</v>
      </c>
      <c r="F29" s="13">
        <f>Reference!D339</f>
        <v>0</v>
      </c>
      <c r="G29" s="13">
        <f>Reference!E339</f>
        <v>0</v>
      </c>
      <c r="H29" s="13">
        <f>Reference!F339</f>
        <v>0</v>
      </c>
      <c r="I29" s="13">
        <f>Reference!G339</f>
        <v>0</v>
      </c>
      <c r="J29" s="14">
        <f t="shared" si="0"/>
        <v>0</v>
      </c>
      <c r="L29" s="12">
        <f>Test!B339</f>
        <v>0</v>
      </c>
      <c r="M29" s="13">
        <f>Test!C339</f>
        <v>0</v>
      </c>
      <c r="N29" s="13">
        <f>Test!D339</f>
        <v>0</v>
      </c>
      <c r="O29" s="13">
        <f>Test!E339</f>
        <v>0</v>
      </c>
      <c r="P29" s="13">
        <f>Test!F339</f>
        <v>0</v>
      </c>
      <c r="Q29" s="13">
        <f>Test!G339</f>
        <v>0</v>
      </c>
      <c r="R29" s="14">
        <f t="shared" si="1"/>
        <v>0</v>
      </c>
      <c r="S29" s="13" t="e">
        <f t="shared" si="2"/>
        <v>#DIV/0!</v>
      </c>
      <c r="T29" s="13" t="e">
        <f t="shared" si="3"/>
        <v>#DIV/0!</v>
      </c>
      <c r="U29" s="48"/>
      <c r="V29" s="31"/>
      <c r="W29" s="29"/>
      <c r="X29" s="43"/>
      <c r="Y29" s="31"/>
      <c r="Z29" s="29"/>
      <c r="AA29" s="43"/>
    </row>
    <row r="30" spans="1:27" ht="12.75" customHeight="1" thickBot="1" x14ac:dyDescent="0.25">
      <c r="A30" s="25"/>
      <c r="B30" s="26"/>
      <c r="C30" s="26">
        <v>37</v>
      </c>
      <c r="D30" s="16">
        <f>Reference!B340</f>
        <v>0</v>
      </c>
      <c r="E30" s="17">
        <f>Reference!C340</f>
        <v>0</v>
      </c>
      <c r="F30" s="17">
        <f>Reference!D340</f>
        <v>0</v>
      </c>
      <c r="G30" s="17">
        <f>Reference!E340</f>
        <v>0</v>
      </c>
      <c r="H30" s="17">
        <f>Reference!F340</f>
        <v>0</v>
      </c>
      <c r="I30" s="17">
        <f>Reference!G340</f>
        <v>0</v>
      </c>
      <c r="J30" s="18">
        <f t="shared" si="0"/>
        <v>0</v>
      </c>
      <c r="L30" s="16">
        <f>Test!B340</f>
        <v>0</v>
      </c>
      <c r="M30" s="17">
        <f>Test!C340</f>
        <v>0</v>
      </c>
      <c r="N30" s="17">
        <f>Test!D340</f>
        <v>0</v>
      </c>
      <c r="O30" s="17">
        <f>Test!E340</f>
        <v>0</v>
      </c>
      <c r="P30" s="17">
        <f>Test!F340</f>
        <v>0</v>
      </c>
      <c r="Q30" s="17">
        <f>Test!G340</f>
        <v>0</v>
      </c>
      <c r="R30" s="18">
        <f t="shared" si="1"/>
        <v>0</v>
      </c>
      <c r="S30" s="13" t="e">
        <f t="shared" si="2"/>
        <v>#DIV/0!</v>
      </c>
      <c r="T30" s="13" t="e">
        <f t="shared" si="3"/>
        <v>#DIV/0!</v>
      </c>
      <c r="U30" s="48"/>
      <c r="V30" s="32"/>
      <c r="W30" s="44"/>
      <c r="X30" s="45"/>
      <c r="Y30" s="32"/>
      <c r="Z30" s="44"/>
      <c r="AA30" s="45"/>
    </row>
    <row r="31" spans="1:27" x14ac:dyDescent="0.2">
      <c r="A31" s="25"/>
      <c r="B31" s="24" t="s">
        <v>36</v>
      </c>
      <c r="C31" s="24">
        <v>22</v>
      </c>
      <c r="D31" s="9">
        <f>Reference!B341</f>
        <v>0</v>
      </c>
      <c r="E31" s="10">
        <f>Reference!C341</f>
        <v>0</v>
      </c>
      <c r="F31" s="10">
        <f>Reference!D341</f>
        <v>0</v>
      </c>
      <c r="G31" s="10">
        <f>Reference!E341</f>
        <v>0</v>
      </c>
      <c r="H31" s="10">
        <f>Reference!F341</f>
        <v>0</v>
      </c>
      <c r="I31" s="10">
        <f>Reference!G341</f>
        <v>0</v>
      </c>
      <c r="J31" s="11">
        <f t="shared" si="0"/>
        <v>0</v>
      </c>
      <c r="L31" s="9">
        <f>Test!B341</f>
        <v>0</v>
      </c>
      <c r="M31" s="10">
        <f>Test!C341</f>
        <v>0</v>
      </c>
      <c r="N31" s="10">
        <f>Test!D341</f>
        <v>0</v>
      </c>
      <c r="O31" s="10">
        <f>Test!E341</f>
        <v>0</v>
      </c>
      <c r="P31" s="10">
        <f>Test!F341</f>
        <v>0</v>
      </c>
      <c r="Q31" s="10">
        <f>Test!G341</f>
        <v>0</v>
      </c>
      <c r="R31" s="11">
        <f t="shared" si="1"/>
        <v>0</v>
      </c>
      <c r="S31" s="13" t="e">
        <f t="shared" si="2"/>
        <v>#DIV/0!</v>
      </c>
      <c r="T31" s="13" t="e">
        <f t="shared" si="3"/>
        <v>#DIV/0!</v>
      </c>
      <c r="U31" s="48"/>
      <c r="V31" s="30" t="e">
        <f>bdrate($D31:$D34,E31:E34,$L31:$L34,M31:M34)</f>
        <v>#VALUE!</v>
      </c>
      <c r="W31" s="35" t="e">
        <f>bdrate($D31:$D34,F31:F34,$L31:$L34,N31:N34)</f>
        <v>#VALUE!</v>
      </c>
      <c r="X31" s="35" t="e">
        <f>bdrate($D31:$D34,G31:G34,$L31:$L34,O31:O34)</f>
        <v>#VALUE!</v>
      </c>
      <c r="Y31" s="33" t="e">
        <f>bdrateOld($D31:$D34,E31:E34,$L31:$L34,M31:M34)</f>
        <v>#VALUE!</v>
      </c>
      <c r="Z31" s="37" t="e">
        <f>bdrateOld($D31:$D34,F31:F34,$L31:$L34,N31:N34)</f>
        <v>#VALUE!</v>
      </c>
      <c r="AA31" s="38" t="e">
        <f>bdrateOld($D31:$D34,G31:G34,$L31:$L34,O31:O34)</f>
        <v>#VALUE!</v>
      </c>
    </row>
    <row r="32" spans="1:27" x14ac:dyDescent="0.2">
      <c r="A32" s="25"/>
      <c r="B32" s="25"/>
      <c r="C32" s="25">
        <v>27</v>
      </c>
      <c r="D32" s="12">
        <f>Reference!B342</f>
        <v>0</v>
      </c>
      <c r="E32" s="13">
        <f>Reference!C342</f>
        <v>0</v>
      </c>
      <c r="F32" s="13">
        <f>Reference!D342</f>
        <v>0</v>
      </c>
      <c r="G32" s="13">
        <f>Reference!E342</f>
        <v>0</v>
      </c>
      <c r="H32" s="13">
        <f>Reference!F342</f>
        <v>0</v>
      </c>
      <c r="I32" s="13">
        <f>Reference!G342</f>
        <v>0</v>
      </c>
      <c r="J32" s="14">
        <f t="shared" si="0"/>
        <v>0</v>
      </c>
      <c r="L32" s="12">
        <f>Test!B342</f>
        <v>0</v>
      </c>
      <c r="M32" s="13">
        <f>Test!C342</f>
        <v>0</v>
      </c>
      <c r="N32" s="13">
        <f>Test!D342</f>
        <v>0</v>
      </c>
      <c r="O32" s="13">
        <f>Test!E342</f>
        <v>0</v>
      </c>
      <c r="P32" s="13">
        <f>Test!F342</f>
        <v>0</v>
      </c>
      <c r="Q32" s="13">
        <f>Test!G342</f>
        <v>0</v>
      </c>
      <c r="R32" s="14">
        <f t="shared" si="1"/>
        <v>0</v>
      </c>
      <c r="S32" s="13" t="e">
        <f t="shared" si="2"/>
        <v>#DIV/0!</v>
      </c>
      <c r="T32" s="13" t="e">
        <f t="shared" si="3"/>
        <v>#DIV/0!</v>
      </c>
      <c r="U32" s="48"/>
      <c r="V32" s="31"/>
      <c r="W32" s="29"/>
      <c r="X32" s="29"/>
      <c r="Y32" s="31"/>
      <c r="Z32" s="29"/>
      <c r="AA32" s="43"/>
    </row>
    <row r="33" spans="1:27" x14ac:dyDescent="0.2">
      <c r="A33" s="25"/>
      <c r="B33" s="25"/>
      <c r="C33" s="25">
        <v>32</v>
      </c>
      <c r="D33" s="12">
        <f>Reference!B343</f>
        <v>0</v>
      </c>
      <c r="E33" s="13">
        <f>Reference!C343</f>
        <v>0</v>
      </c>
      <c r="F33" s="13">
        <f>Reference!D343</f>
        <v>0</v>
      </c>
      <c r="G33" s="13">
        <f>Reference!E343</f>
        <v>0</v>
      </c>
      <c r="H33" s="13">
        <f>Reference!F343</f>
        <v>0</v>
      </c>
      <c r="I33" s="13">
        <f>Reference!G343</f>
        <v>0</v>
      </c>
      <c r="J33" s="14">
        <f t="shared" si="0"/>
        <v>0</v>
      </c>
      <c r="L33" s="12">
        <f>Test!B343</f>
        <v>0</v>
      </c>
      <c r="M33" s="13">
        <f>Test!C343</f>
        <v>0</v>
      </c>
      <c r="N33" s="13">
        <f>Test!D343</f>
        <v>0</v>
      </c>
      <c r="O33" s="13">
        <f>Test!E343</f>
        <v>0</v>
      </c>
      <c r="P33" s="13">
        <f>Test!F343</f>
        <v>0</v>
      </c>
      <c r="Q33" s="13">
        <f>Test!G343</f>
        <v>0</v>
      </c>
      <c r="R33" s="14">
        <f t="shared" si="1"/>
        <v>0</v>
      </c>
      <c r="S33" s="13" t="e">
        <f t="shared" si="2"/>
        <v>#DIV/0!</v>
      </c>
      <c r="T33" s="13" t="e">
        <f t="shared" si="3"/>
        <v>#DIV/0!</v>
      </c>
      <c r="U33" s="48"/>
      <c r="V33" s="31"/>
      <c r="W33" s="29"/>
      <c r="X33" s="29"/>
      <c r="Y33" s="31"/>
      <c r="Z33" s="29"/>
      <c r="AA33" s="43"/>
    </row>
    <row r="34" spans="1:27" ht="12.75" customHeight="1" thickBot="1" x14ac:dyDescent="0.25">
      <c r="A34" s="25"/>
      <c r="B34" s="26"/>
      <c r="C34" s="26">
        <v>37</v>
      </c>
      <c r="D34" s="16">
        <f>Reference!B344</f>
        <v>0</v>
      </c>
      <c r="E34" s="17">
        <f>Reference!C344</f>
        <v>0</v>
      </c>
      <c r="F34" s="17">
        <f>Reference!D344</f>
        <v>0</v>
      </c>
      <c r="G34" s="17">
        <f>Reference!E344</f>
        <v>0</v>
      </c>
      <c r="H34" s="17">
        <f>Reference!F344</f>
        <v>0</v>
      </c>
      <c r="I34" s="17">
        <f>Reference!G344</f>
        <v>0</v>
      </c>
      <c r="J34" s="18">
        <f t="shared" si="0"/>
        <v>0</v>
      </c>
      <c r="L34" s="16">
        <f>Test!B344</f>
        <v>0</v>
      </c>
      <c r="M34" s="17">
        <f>Test!C344</f>
        <v>0</v>
      </c>
      <c r="N34" s="17">
        <f>Test!D344</f>
        <v>0</v>
      </c>
      <c r="O34" s="17">
        <f>Test!E344</f>
        <v>0</v>
      </c>
      <c r="P34" s="17">
        <f>Test!F344</f>
        <v>0</v>
      </c>
      <c r="Q34" s="17">
        <f>Test!G344</f>
        <v>0</v>
      </c>
      <c r="R34" s="18">
        <f t="shared" si="1"/>
        <v>0</v>
      </c>
      <c r="S34" s="13" t="e">
        <f t="shared" si="2"/>
        <v>#DIV/0!</v>
      </c>
      <c r="T34" s="13" t="e">
        <f t="shared" si="3"/>
        <v>#DIV/0!</v>
      </c>
      <c r="U34" s="48"/>
      <c r="V34" s="32"/>
      <c r="W34" s="44"/>
      <c r="X34" s="44"/>
      <c r="Y34" s="32"/>
      <c r="Z34" s="44"/>
      <c r="AA34" s="45"/>
    </row>
    <row r="35" spans="1:27" x14ac:dyDescent="0.2">
      <c r="A35" s="25"/>
      <c r="B35" s="24" t="s">
        <v>37</v>
      </c>
      <c r="C35" s="24">
        <v>22</v>
      </c>
      <c r="D35" s="9">
        <f>Reference!B345</f>
        <v>0</v>
      </c>
      <c r="E35" s="10">
        <f>Reference!C345</f>
        <v>0</v>
      </c>
      <c r="F35" s="10">
        <f>Reference!D345</f>
        <v>0</v>
      </c>
      <c r="G35" s="10">
        <f>Reference!E345</f>
        <v>0</v>
      </c>
      <c r="H35" s="10">
        <f>Reference!F345</f>
        <v>0</v>
      </c>
      <c r="I35" s="10">
        <f>Reference!G345</f>
        <v>0</v>
      </c>
      <c r="J35" s="11">
        <f t="shared" si="0"/>
        <v>0</v>
      </c>
      <c r="L35" s="9">
        <f>Test!B345</f>
        <v>0</v>
      </c>
      <c r="M35" s="10">
        <f>Test!C345</f>
        <v>0</v>
      </c>
      <c r="N35" s="10">
        <f>Test!D345</f>
        <v>0</v>
      </c>
      <c r="O35" s="10">
        <f>Test!E345</f>
        <v>0</v>
      </c>
      <c r="P35" s="10">
        <f>Test!F345</f>
        <v>0</v>
      </c>
      <c r="Q35" s="10">
        <f>Test!G345</f>
        <v>0</v>
      </c>
      <c r="R35" s="11">
        <f t="shared" si="1"/>
        <v>0</v>
      </c>
      <c r="S35" s="13" t="e">
        <f t="shared" si="2"/>
        <v>#DIV/0!</v>
      </c>
      <c r="T35" s="13" t="e">
        <f t="shared" si="3"/>
        <v>#DIV/0!</v>
      </c>
      <c r="U35" s="48"/>
      <c r="V35" s="30" t="e">
        <f>bdrate($D35:$D38,E35:E38,$L35:$L38,M35:M38)</f>
        <v>#VALUE!</v>
      </c>
      <c r="W35" s="35" t="e">
        <f>bdrate($D35:$D38,F35:F38,$L35:$L38,N35:N38)</f>
        <v>#VALUE!</v>
      </c>
      <c r="X35" s="35" t="e">
        <f>bdrate($D35:$D38,G35:G38,$L35:$L38,O35:O38)</f>
        <v>#VALUE!</v>
      </c>
      <c r="Y35" s="33" t="e">
        <f>bdrateOld($D35:$D38,E35:E38,$L35:$L38,M35:M38)</f>
        <v>#VALUE!</v>
      </c>
      <c r="Z35" s="37" t="e">
        <f>bdrateOld($D35:$D38,F35:F38,$L35:$L38,N35:N38)</f>
        <v>#VALUE!</v>
      </c>
      <c r="AA35" s="38" t="e">
        <f>bdrateOld($D35:$D38,G35:G38,$L35:$L38,O35:O38)</f>
        <v>#VALUE!</v>
      </c>
    </row>
    <row r="36" spans="1:27" x14ac:dyDescent="0.2">
      <c r="A36" s="25"/>
      <c r="B36" s="25"/>
      <c r="C36" s="25">
        <v>27</v>
      </c>
      <c r="D36" s="12">
        <f>Reference!B346</f>
        <v>0</v>
      </c>
      <c r="E36" s="13">
        <f>Reference!C346</f>
        <v>0</v>
      </c>
      <c r="F36" s="13">
        <f>Reference!D346</f>
        <v>0</v>
      </c>
      <c r="G36" s="13">
        <f>Reference!E346</f>
        <v>0</v>
      </c>
      <c r="H36" s="13">
        <f>Reference!F346</f>
        <v>0</v>
      </c>
      <c r="I36" s="13">
        <f>Reference!G346</f>
        <v>0</v>
      </c>
      <c r="J36" s="14">
        <f t="shared" si="0"/>
        <v>0</v>
      </c>
      <c r="L36" s="12">
        <f>Test!B346</f>
        <v>0</v>
      </c>
      <c r="M36" s="13">
        <f>Test!C346</f>
        <v>0</v>
      </c>
      <c r="N36" s="13">
        <f>Test!D346</f>
        <v>0</v>
      </c>
      <c r="O36" s="13">
        <f>Test!E346</f>
        <v>0</v>
      </c>
      <c r="P36" s="13">
        <f>Test!F346</f>
        <v>0</v>
      </c>
      <c r="Q36" s="13">
        <f>Test!G346</f>
        <v>0</v>
      </c>
      <c r="R36" s="14">
        <f t="shared" si="1"/>
        <v>0</v>
      </c>
      <c r="S36" s="13" t="e">
        <f t="shared" si="2"/>
        <v>#DIV/0!</v>
      </c>
      <c r="T36" s="13" t="e">
        <f t="shared" si="3"/>
        <v>#DIV/0!</v>
      </c>
      <c r="U36" s="48"/>
      <c r="V36" s="31"/>
      <c r="W36" s="29"/>
      <c r="X36" s="29"/>
      <c r="Y36" s="31"/>
      <c r="Z36" s="29"/>
      <c r="AA36" s="43"/>
    </row>
    <row r="37" spans="1:27" x14ac:dyDescent="0.2">
      <c r="A37" s="25"/>
      <c r="B37" s="25"/>
      <c r="C37" s="25">
        <v>32</v>
      </c>
      <c r="D37" s="12">
        <f>Reference!B347</f>
        <v>0</v>
      </c>
      <c r="E37" s="13">
        <f>Reference!C347</f>
        <v>0</v>
      </c>
      <c r="F37" s="13">
        <f>Reference!D347</f>
        <v>0</v>
      </c>
      <c r="G37" s="13">
        <f>Reference!E347</f>
        <v>0</v>
      </c>
      <c r="H37" s="13">
        <f>Reference!F347</f>
        <v>0</v>
      </c>
      <c r="I37" s="13">
        <f>Reference!G347</f>
        <v>0</v>
      </c>
      <c r="J37" s="14">
        <f t="shared" si="0"/>
        <v>0</v>
      </c>
      <c r="L37" s="12">
        <f>Test!B347</f>
        <v>0</v>
      </c>
      <c r="M37" s="13">
        <f>Test!C347</f>
        <v>0</v>
      </c>
      <c r="N37" s="13">
        <f>Test!D347</f>
        <v>0</v>
      </c>
      <c r="O37" s="13">
        <f>Test!E347</f>
        <v>0</v>
      </c>
      <c r="P37" s="13">
        <f>Test!F347</f>
        <v>0</v>
      </c>
      <c r="Q37" s="13">
        <f>Test!G347</f>
        <v>0</v>
      </c>
      <c r="R37" s="14">
        <f t="shared" si="1"/>
        <v>0</v>
      </c>
      <c r="S37" s="13" t="e">
        <f t="shared" si="2"/>
        <v>#DIV/0!</v>
      </c>
      <c r="T37" s="13" t="e">
        <f t="shared" si="3"/>
        <v>#DIV/0!</v>
      </c>
      <c r="U37" s="48"/>
      <c r="V37" s="31"/>
      <c r="W37" s="29"/>
      <c r="X37" s="29"/>
      <c r="Y37" s="31"/>
      <c r="Z37" s="29"/>
      <c r="AA37" s="43"/>
    </row>
    <row r="38" spans="1:27" ht="12.75" customHeight="1" thickBot="1" x14ac:dyDescent="0.25">
      <c r="A38" s="25"/>
      <c r="B38" s="26"/>
      <c r="C38" s="26">
        <v>37</v>
      </c>
      <c r="D38" s="16">
        <f>Reference!B348</f>
        <v>0</v>
      </c>
      <c r="E38" s="17">
        <f>Reference!C348</f>
        <v>0</v>
      </c>
      <c r="F38" s="17">
        <f>Reference!D348</f>
        <v>0</v>
      </c>
      <c r="G38" s="17">
        <f>Reference!E348</f>
        <v>0</v>
      </c>
      <c r="H38" s="17">
        <f>Reference!F348</f>
        <v>0</v>
      </c>
      <c r="I38" s="17">
        <f>Reference!G348</f>
        <v>0</v>
      </c>
      <c r="J38" s="18">
        <f t="shared" si="0"/>
        <v>0</v>
      </c>
      <c r="L38" s="16">
        <f>Test!B348</f>
        <v>0</v>
      </c>
      <c r="M38" s="17">
        <f>Test!C348</f>
        <v>0</v>
      </c>
      <c r="N38" s="17">
        <f>Test!D348</f>
        <v>0</v>
      </c>
      <c r="O38" s="17">
        <f>Test!E348</f>
        <v>0</v>
      </c>
      <c r="P38" s="17">
        <f>Test!F348</f>
        <v>0</v>
      </c>
      <c r="Q38" s="17">
        <f>Test!G348</f>
        <v>0</v>
      </c>
      <c r="R38" s="18">
        <f t="shared" si="1"/>
        <v>0</v>
      </c>
      <c r="S38" s="13" t="e">
        <f t="shared" si="2"/>
        <v>#DIV/0!</v>
      </c>
      <c r="T38" s="13" t="e">
        <f t="shared" si="3"/>
        <v>#DIV/0!</v>
      </c>
      <c r="U38" s="48"/>
      <c r="V38" s="32"/>
      <c r="W38" s="44"/>
      <c r="X38" s="44"/>
      <c r="Y38" s="32"/>
      <c r="Z38" s="44"/>
      <c r="AA38" s="45"/>
    </row>
    <row r="39" spans="1:27" x14ac:dyDescent="0.2">
      <c r="A39" s="25"/>
      <c r="B39" s="24" t="s">
        <v>42</v>
      </c>
      <c r="C39" s="24">
        <v>22</v>
      </c>
      <c r="D39" s="9">
        <f>Reference!B349</f>
        <v>0</v>
      </c>
      <c r="E39" s="10">
        <f>Reference!C349</f>
        <v>0</v>
      </c>
      <c r="F39" s="10">
        <f>Reference!D349</f>
        <v>0</v>
      </c>
      <c r="G39" s="10">
        <f>Reference!E349</f>
        <v>0</v>
      </c>
      <c r="H39" s="10">
        <f>Reference!F349</f>
        <v>0</v>
      </c>
      <c r="I39" s="10">
        <f>Reference!G349</f>
        <v>0</v>
      </c>
      <c r="J39" s="11">
        <f t="shared" si="0"/>
        <v>0</v>
      </c>
      <c r="L39" s="9">
        <f>Test!B349</f>
        <v>0</v>
      </c>
      <c r="M39" s="10">
        <f>Test!C349</f>
        <v>0</v>
      </c>
      <c r="N39" s="10">
        <f>Test!D349</f>
        <v>0</v>
      </c>
      <c r="O39" s="10">
        <f>Test!E349</f>
        <v>0</v>
      </c>
      <c r="P39" s="10">
        <f>Test!F349</f>
        <v>0</v>
      </c>
      <c r="Q39" s="10">
        <f>Test!G349</f>
        <v>0</v>
      </c>
      <c r="R39" s="11">
        <f t="shared" si="1"/>
        <v>0</v>
      </c>
      <c r="S39" s="13" t="e">
        <f t="shared" si="2"/>
        <v>#DIV/0!</v>
      </c>
      <c r="T39" s="13" t="e">
        <f t="shared" si="3"/>
        <v>#DIV/0!</v>
      </c>
      <c r="U39" s="48"/>
      <c r="V39" s="30" t="e">
        <f>bdrate($D39:$D42,E39:E42,$L39:$L42,M39:M42)</f>
        <v>#VALUE!</v>
      </c>
      <c r="W39" s="35" t="e">
        <f>bdrate($D39:$D42,F39:F42,$L39:$L42,N39:N42)</f>
        <v>#VALUE!</v>
      </c>
      <c r="X39" s="35" t="e">
        <f>bdrate($D39:$D42,G39:G42,$L39:$L42,O39:O42)</f>
        <v>#VALUE!</v>
      </c>
      <c r="Y39" s="33" t="e">
        <f>bdrateOld($D39:$D42,E39:E42,$L39:$L42,M39:M42)</f>
        <v>#VALUE!</v>
      </c>
      <c r="Z39" s="37" t="e">
        <f>bdrateOld($D39:$D42,F39:F42,$L39:$L42,N39:N42)</f>
        <v>#VALUE!</v>
      </c>
      <c r="AA39" s="38" t="e">
        <f>bdrateOld($D39:$D42,G39:G42,$L39:$L42,O39:O42)</f>
        <v>#VALUE!</v>
      </c>
    </row>
    <row r="40" spans="1:27" x14ac:dyDescent="0.2">
      <c r="A40" s="25"/>
      <c r="B40" s="25"/>
      <c r="C40" s="25">
        <v>27</v>
      </c>
      <c r="D40" s="12">
        <f>Reference!B350</f>
        <v>0</v>
      </c>
      <c r="E40" s="13">
        <f>Reference!C350</f>
        <v>0</v>
      </c>
      <c r="F40" s="13">
        <f>Reference!D350</f>
        <v>0</v>
      </c>
      <c r="G40" s="13">
        <f>Reference!E350</f>
        <v>0</v>
      </c>
      <c r="H40" s="13">
        <f>Reference!F350</f>
        <v>0</v>
      </c>
      <c r="I40" s="13">
        <f>Reference!G350</f>
        <v>0</v>
      </c>
      <c r="J40" s="14">
        <f t="shared" si="0"/>
        <v>0</v>
      </c>
      <c r="L40" s="12">
        <f>Test!B350</f>
        <v>0</v>
      </c>
      <c r="M40" s="13">
        <f>Test!C350</f>
        <v>0</v>
      </c>
      <c r="N40" s="13">
        <f>Test!D350</f>
        <v>0</v>
      </c>
      <c r="O40" s="13">
        <f>Test!E350</f>
        <v>0</v>
      </c>
      <c r="P40" s="13">
        <f>Test!F350</f>
        <v>0</v>
      </c>
      <c r="Q40" s="13">
        <f>Test!G350</f>
        <v>0</v>
      </c>
      <c r="R40" s="14">
        <f t="shared" si="1"/>
        <v>0</v>
      </c>
      <c r="S40" s="13" t="e">
        <f t="shared" si="2"/>
        <v>#DIV/0!</v>
      </c>
      <c r="T40" s="13" t="e">
        <f t="shared" si="3"/>
        <v>#DIV/0!</v>
      </c>
      <c r="U40" s="48"/>
      <c r="V40" s="31"/>
      <c r="W40" s="29"/>
      <c r="X40" s="29"/>
      <c r="Y40" s="31"/>
      <c r="Z40" s="29"/>
      <c r="AA40" s="43"/>
    </row>
    <row r="41" spans="1:27" x14ac:dyDescent="0.2">
      <c r="A41" s="25"/>
      <c r="B41" s="25"/>
      <c r="C41" s="25">
        <v>32</v>
      </c>
      <c r="D41" s="12">
        <f>Reference!B351</f>
        <v>0</v>
      </c>
      <c r="E41" s="13">
        <f>Reference!C351</f>
        <v>0</v>
      </c>
      <c r="F41" s="13">
        <f>Reference!D351</f>
        <v>0</v>
      </c>
      <c r="G41" s="13">
        <f>Reference!E351</f>
        <v>0</v>
      </c>
      <c r="H41" s="13">
        <f>Reference!F351</f>
        <v>0</v>
      </c>
      <c r="I41" s="13">
        <f>Reference!G351</f>
        <v>0</v>
      </c>
      <c r="J41" s="14">
        <f t="shared" si="0"/>
        <v>0</v>
      </c>
      <c r="L41" s="12">
        <f>Test!B351</f>
        <v>0</v>
      </c>
      <c r="M41" s="13">
        <f>Test!C351</f>
        <v>0</v>
      </c>
      <c r="N41" s="13">
        <f>Test!D351</f>
        <v>0</v>
      </c>
      <c r="O41" s="13">
        <f>Test!E351</f>
        <v>0</v>
      </c>
      <c r="P41" s="13">
        <f>Test!F351</f>
        <v>0</v>
      </c>
      <c r="Q41" s="13">
        <f>Test!G351</f>
        <v>0</v>
      </c>
      <c r="R41" s="14">
        <f t="shared" si="1"/>
        <v>0</v>
      </c>
      <c r="S41" s="13" t="e">
        <f t="shared" si="2"/>
        <v>#DIV/0!</v>
      </c>
      <c r="T41" s="13" t="e">
        <f t="shared" si="3"/>
        <v>#DIV/0!</v>
      </c>
      <c r="U41" s="48"/>
      <c r="V41" s="31"/>
      <c r="W41" s="29"/>
      <c r="X41" s="29"/>
      <c r="Y41" s="31"/>
      <c r="Z41" s="29"/>
      <c r="AA41" s="43"/>
    </row>
    <row r="42" spans="1:27" ht="12.75" customHeight="1" thickBot="1" x14ac:dyDescent="0.25">
      <c r="A42" s="25"/>
      <c r="B42" s="26"/>
      <c r="C42" s="26">
        <v>37</v>
      </c>
      <c r="D42" s="16">
        <f>Reference!B352</f>
        <v>0</v>
      </c>
      <c r="E42" s="17">
        <f>Reference!C352</f>
        <v>0</v>
      </c>
      <c r="F42" s="17">
        <f>Reference!D352</f>
        <v>0</v>
      </c>
      <c r="G42" s="17">
        <f>Reference!E352</f>
        <v>0</v>
      </c>
      <c r="H42" s="17">
        <f>Reference!F352</f>
        <v>0</v>
      </c>
      <c r="I42" s="17">
        <f>Reference!G352</f>
        <v>0</v>
      </c>
      <c r="J42" s="18">
        <f t="shared" si="0"/>
        <v>0</v>
      </c>
      <c r="L42" s="16">
        <f>Test!B352</f>
        <v>0</v>
      </c>
      <c r="M42" s="17">
        <f>Test!C352</f>
        <v>0</v>
      </c>
      <c r="N42" s="17">
        <f>Test!D352</f>
        <v>0</v>
      </c>
      <c r="O42" s="17">
        <f>Test!E352</f>
        <v>0</v>
      </c>
      <c r="P42" s="17">
        <f>Test!F352</f>
        <v>0</v>
      </c>
      <c r="Q42" s="17">
        <f>Test!G352</f>
        <v>0</v>
      </c>
      <c r="R42" s="18">
        <f t="shared" si="1"/>
        <v>0</v>
      </c>
      <c r="S42" s="13" t="e">
        <f t="shared" si="2"/>
        <v>#DIV/0!</v>
      </c>
      <c r="T42" s="13" t="e">
        <f t="shared" si="3"/>
        <v>#DIV/0!</v>
      </c>
      <c r="U42" s="48"/>
      <c r="V42" s="32"/>
      <c r="W42" s="44"/>
      <c r="X42" s="44"/>
      <c r="Y42" s="32"/>
      <c r="Z42" s="44"/>
      <c r="AA42" s="45"/>
    </row>
    <row r="43" spans="1:27" x14ac:dyDescent="0.2">
      <c r="A43" s="25"/>
      <c r="B43" s="24" t="s">
        <v>43</v>
      </c>
      <c r="C43" s="24">
        <v>22</v>
      </c>
      <c r="D43" s="9">
        <f>Reference!B353</f>
        <v>0</v>
      </c>
      <c r="E43" s="10">
        <f>Reference!C353</f>
        <v>0</v>
      </c>
      <c r="F43" s="10">
        <f>Reference!D353</f>
        <v>0</v>
      </c>
      <c r="G43" s="10">
        <f>Reference!E353</f>
        <v>0</v>
      </c>
      <c r="H43" s="10">
        <f>Reference!F353</f>
        <v>0</v>
      </c>
      <c r="I43" s="10">
        <f>Reference!G353</f>
        <v>0</v>
      </c>
      <c r="J43" s="11">
        <f t="shared" si="0"/>
        <v>0</v>
      </c>
      <c r="L43" s="9">
        <f>Test!B353</f>
        <v>0</v>
      </c>
      <c r="M43" s="10">
        <f>Test!C353</f>
        <v>0</v>
      </c>
      <c r="N43" s="10">
        <f>Test!D353</f>
        <v>0</v>
      </c>
      <c r="O43" s="10">
        <f>Test!E353</f>
        <v>0</v>
      </c>
      <c r="P43" s="10">
        <f>Test!F353</f>
        <v>0</v>
      </c>
      <c r="Q43" s="10">
        <f>Test!G353</f>
        <v>0</v>
      </c>
      <c r="R43" s="11">
        <f t="shared" si="1"/>
        <v>0</v>
      </c>
      <c r="S43" s="13" t="e">
        <f t="shared" si="2"/>
        <v>#DIV/0!</v>
      </c>
      <c r="T43" s="13" t="e">
        <f t="shared" si="3"/>
        <v>#DIV/0!</v>
      </c>
      <c r="U43" s="48"/>
      <c r="V43" s="30" t="e">
        <f>bdrate($D43:$D46,E43:E46,$L43:$L46,M43:M46)</f>
        <v>#VALUE!</v>
      </c>
      <c r="W43" s="35" t="e">
        <f>bdrate($D43:$D46,F43:F46,$L43:$L46,N43:N46)</f>
        <v>#VALUE!</v>
      </c>
      <c r="X43" s="35" t="e">
        <f>bdrate($D43:$D46,G43:G46,$L43:$L46,O43:O46)</f>
        <v>#VALUE!</v>
      </c>
      <c r="Y43" s="33" t="e">
        <f>bdrateOld($D43:$D46,E43:E46,$L43:$L46,M43:M46)</f>
        <v>#VALUE!</v>
      </c>
      <c r="Z43" s="37" t="e">
        <f>bdrateOld($D43:$D46,F43:F46,$L43:$L46,N43:N46)</f>
        <v>#VALUE!</v>
      </c>
      <c r="AA43" s="38" t="e">
        <f>bdrateOld($D43:$D46,G43:G46,$L43:$L46,O43:O46)</f>
        <v>#VALUE!</v>
      </c>
    </row>
    <row r="44" spans="1:27" x14ac:dyDescent="0.2">
      <c r="A44" s="25"/>
      <c r="B44" s="25"/>
      <c r="C44" s="25">
        <v>27</v>
      </c>
      <c r="D44" s="12">
        <f>Reference!B354</f>
        <v>0</v>
      </c>
      <c r="E44" s="13">
        <f>Reference!C354</f>
        <v>0</v>
      </c>
      <c r="F44" s="13">
        <f>Reference!D354</f>
        <v>0</v>
      </c>
      <c r="G44" s="13">
        <f>Reference!E354</f>
        <v>0</v>
      </c>
      <c r="H44" s="13">
        <f>Reference!F354</f>
        <v>0</v>
      </c>
      <c r="I44" s="13">
        <f>Reference!G354</f>
        <v>0</v>
      </c>
      <c r="J44" s="14">
        <f t="shared" si="0"/>
        <v>0</v>
      </c>
      <c r="L44" s="12">
        <f>Test!B354</f>
        <v>0</v>
      </c>
      <c r="M44" s="13">
        <f>Test!C354</f>
        <v>0</v>
      </c>
      <c r="N44" s="13">
        <f>Test!D354</f>
        <v>0</v>
      </c>
      <c r="O44" s="13">
        <f>Test!E354</f>
        <v>0</v>
      </c>
      <c r="P44" s="13">
        <f>Test!F354</f>
        <v>0</v>
      </c>
      <c r="Q44" s="13">
        <f>Test!G354</f>
        <v>0</v>
      </c>
      <c r="R44" s="14">
        <f t="shared" si="1"/>
        <v>0</v>
      </c>
      <c r="S44" s="13" t="e">
        <f t="shared" si="2"/>
        <v>#DIV/0!</v>
      </c>
      <c r="T44" s="13" t="e">
        <f t="shared" si="3"/>
        <v>#DIV/0!</v>
      </c>
      <c r="U44" s="48"/>
      <c r="V44" s="31"/>
      <c r="W44" s="29"/>
      <c r="X44" s="29"/>
      <c r="Y44" s="31"/>
      <c r="Z44" s="29"/>
      <c r="AA44" s="43"/>
    </row>
    <row r="45" spans="1:27" x14ac:dyDescent="0.2">
      <c r="A45" s="25"/>
      <c r="B45" s="25"/>
      <c r="C45" s="25">
        <v>32</v>
      </c>
      <c r="D45" s="12">
        <f>Reference!B355</f>
        <v>0</v>
      </c>
      <c r="E45" s="13">
        <f>Reference!C355</f>
        <v>0</v>
      </c>
      <c r="F45" s="13">
        <f>Reference!D355</f>
        <v>0</v>
      </c>
      <c r="G45" s="13">
        <f>Reference!E355</f>
        <v>0</v>
      </c>
      <c r="H45" s="13">
        <f>Reference!F355</f>
        <v>0</v>
      </c>
      <c r="I45" s="13">
        <f>Reference!G355</f>
        <v>0</v>
      </c>
      <c r="J45" s="14">
        <f t="shared" si="0"/>
        <v>0</v>
      </c>
      <c r="L45" s="12">
        <f>Test!B355</f>
        <v>0</v>
      </c>
      <c r="M45" s="13">
        <f>Test!C355</f>
        <v>0</v>
      </c>
      <c r="N45" s="13">
        <f>Test!D355</f>
        <v>0</v>
      </c>
      <c r="O45" s="13">
        <f>Test!E355</f>
        <v>0</v>
      </c>
      <c r="P45" s="13">
        <f>Test!F355</f>
        <v>0</v>
      </c>
      <c r="Q45" s="13">
        <f>Test!G355</f>
        <v>0</v>
      </c>
      <c r="R45" s="14">
        <f t="shared" si="1"/>
        <v>0</v>
      </c>
      <c r="S45" s="13" t="e">
        <f t="shared" si="2"/>
        <v>#DIV/0!</v>
      </c>
      <c r="T45" s="13" t="e">
        <f t="shared" si="3"/>
        <v>#DIV/0!</v>
      </c>
      <c r="U45" s="48"/>
      <c r="V45" s="31"/>
      <c r="W45" s="29"/>
      <c r="X45" s="29"/>
      <c r="Y45" s="31"/>
      <c r="Z45" s="29"/>
      <c r="AA45" s="43"/>
    </row>
    <row r="46" spans="1:27" ht="12.75" customHeight="1" thickBot="1" x14ac:dyDescent="0.25">
      <c r="A46" s="26"/>
      <c r="B46" s="26"/>
      <c r="C46" s="26">
        <v>37</v>
      </c>
      <c r="D46" s="16">
        <f>Reference!B356</f>
        <v>0</v>
      </c>
      <c r="E46" s="17">
        <f>Reference!C356</f>
        <v>0</v>
      </c>
      <c r="F46" s="17">
        <f>Reference!D356</f>
        <v>0</v>
      </c>
      <c r="G46" s="17">
        <f>Reference!E356</f>
        <v>0</v>
      </c>
      <c r="H46" s="17">
        <f>Reference!F356</f>
        <v>0</v>
      </c>
      <c r="I46" s="17">
        <f>Reference!G356</f>
        <v>0</v>
      </c>
      <c r="J46" s="18">
        <f t="shared" si="0"/>
        <v>0</v>
      </c>
      <c r="L46" s="16">
        <f>Test!B356</f>
        <v>0</v>
      </c>
      <c r="M46" s="17">
        <f>Test!C356</f>
        <v>0</v>
      </c>
      <c r="N46" s="17">
        <f>Test!D356</f>
        <v>0</v>
      </c>
      <c r="O46" s="17">
        <f>Test!E356</f>
        <v>0</v>
      </c>
      <c r="P46" s="17">
        <f>Test!F356</f>
        <v>0</v>
      </c>
      <c r="Q46" s="17">
        <f>Test!G356</f>
        <v>0</v>
      </c>
      <c r="R46" s="18">
        <f t="shared" si="1"/>
        <v>0</v>
      </c>
      <c r="S46" s="13" t="e">
        <f t="shared" si="2"/>
        <v>#DIV/0!</v>
      </c>
      <c r="T46" s="13" t="e">
        <f t="shared" si="3"/>
        <v>#DIV/0!</v>
      </c>
      <c r="U46" s="48"/>
      <c r="V46" s="32"/>
      <c r="W46" s="44"/>
      <c r="X46" s="44"/>
      <c r="Y46" s="32"/>
      <c r="Z46" s="44"/>
      <c r="AA46" s="45"/>
    </row>
    <row r="47" spans="1:27" x14ac:dyDescent="0.2">
      <c r="A47" s="24" t="s">
        <v>9</v>
      </c>
      <c r="B47" s="24" t="s">
        <v>44</v>
      </c>
      <c r="C47" s="24">
        <v>22</v>
      </c>
      <c r="D47" s="9">
        <f>Reference!B357</f>
        <v>0</v>
      </c>
      <c r="E47" s="10">
        <f>Reference!C357</f>
        <v>0</v>
      </c>
      <c r="F47" s="10">
        <f>Reference!D357</f>
        <v>0</v>
      </c>
      <c r="G47" s="10">
        <f>Reference!E357</f>
        <v>0</v>
      </c>
      <c r="H47" s="10">
        <f>Reference!F357</f>
        <v>0</v>
      </c>
      <c r="I47" s="10">
        <f>Reference!G357</f>
        <v>0</v>
      </c>
      <c r="J47" s="11">
        <f t="shared" si="0"/>
        <v>0</v>
      </c>
      <c r="L47" s="9">
        <f>Test!B357</f>
        <v>0</v>
      </c>
      <c r="M47" s="10">
        <f>Test!C357</f>
        <v>0</v>
      </c>
      <c r="N47" s="10">
        <f>Test!D357</f>
        <v>0</v>
      </c>
      <c r="O47" s="10">
        <f>Test!E357</f>
        <v>0</v>
      </c>
      <c r="P47" s="10">
        <f>Test!F357</f>
        <v>0</v>
      </c>
      <c r="Q47" s="10">
        <f>Test!G357</f>
        <v>0</v>
      </c>
      <c r="R47" s="11">
        <f t="shared" si="1"/>
        <v>0</v>
      </c>
      <c r="S47" s="10" t="e">
        <f t="shared" si="2"/>
        <v>#DIV/0!</v>
      </c>
      <c r="T47" s="10" t="e">
        <f t="shared" si="3"/>
        <v>#DIV/0!</v>
      </c>
      <c r="U47" s="47"/>
      <c r="V47" s="30" t="e">
        <f>bdrate($D47:$D50,E47:E50,$L47:$L50,M47:M50)</f>
        <v>#VALUE!</v>
      </c>
      <c r="W47" s="35" t="e">
        <f>bdrate($D47:$D50,F47:F50,$L47:$L50,N47:N50)</f>
        <v>#VALUE!</v>
      </c>
      <c r="X47" s="36" t="e">
        <f>bdrate($D47:$D50,G47:G50,$L47:$L50,O47:O50)</f>
        <v>#VALUE!</v>
      </c>
      <c r="Y47" s="30" t="e">
        <f>bdrateOld($D47:$D50,E47:E50,$L47:$L50,M47:M50)</f>
        <v>#VALUE!</v>
      </c>
      <c r="Z47" s="35" t="e">
        <f>bdrateOld($D47:$D50,F47:F50,$L47:$L50,N47:N50)</f>
        <v>#VALUE!</v>
      </c>
      <c r="AA47" s="36" t="e">
        <f>bdrateOld($D47:$D50,G47:G50,$L47:$L50,O47:O50)</f>
        <v>#VALUE!</v>
      </c>
    </row>
    <row r="48" spans="1:27" x14ac:dyDescent="0.2">
      <c r="A48" s="25" t="s">
        <v>71</v>
      </c>
      <c r="B48" s="25"/>
      <c r="C48" s="25">
        <v>27</v>
      </c>
      <c r="D48" s="12">
        <f>Reference!B358</f>
        <v>0</v>
      </c>
      <c r="E48" s="13">
        <f>Reference!C358</f>
        <v>0</v>
      </c>
      <c r="F48" s="13">
        <f>Reference!D358</f>
        <v>0</v>
      </c>
      <c r="G48" s="13">
        <f>Reference!E358</f>
        <v>0</v>
      </c>
      <c r="H48" s="13">
        <f>Reference!F358</f>
        <v>0</v>
      </c>
      <c r="I48" s="13">
        <f>Reference!G358</f>
        <v>0</v>
      </c>
      <c r="J48" s="14">
        <f t="shared" si="0"/>
        <v>0</v>
      </c>
      <c r="L48" s="12">
        <f>Test!B358</f>
        <v>0</v>
      </c>
      <c r="M48" s="13">
        <f>Test!C358</f>
        <v>0</v>
      </c>
      <c r="N48" s="13">
        <f>Test!D358</f>
        <v>0</v>
      </c>
      <c r="O48" s="13">
        <f>Test!E358</f>
        <v>0</v>
      </c>
      <c r="P48" s="13">
        <f>Test!F358</f>
        <v>0</v>
      </c>
      <c r="Q48" s="13">
        <f>Test!G358</f>
        <v>0</v>
      </c>
      <c r="R48" s="14">
        <f t="shared" si="1"/>
        <v>0</v>
      </c>
      <c r="S48" s="13" t="e">
        <f t="shared" si="2"/>
        <v>#DIV/0!</v>
      </c>
      <c r="T48" s="13" t="e">
        <f t="shared" si="3"/>
        <v>#DIV/0!</v>
      </c>
      <c r="U48" s="48"/>
      <c r="V48" s="31"/>
      <c r="W48" s="29"/>
      <c r="X48" s="43"/>
      <c r="Y48" s="31"/>
      <c r="Z48" s="29"/>
      <c r="AA48" s="43"/>
    </row>
    <row r="49" spans="1:27" x14ac:dyDescent="0.2">
      <c r="A49" s="25"/>
      <c r="B49" s="25"/>
      <c r="C49" s="25">
        <v>32</v>
      </c>
      <c r="D49" s="12">
        <f>Reference!B359</f>
        <v>0</v>
      </c>
      <c r="E49" s="13">
        <f>Reference!C359</f>
        <v>0</v>
      </c>
      <c r="F49" s="13">
        <f>Reference!D359</f>
        <v>0</v>
      </c>
      <c r="G49" s="13">
        <f>Reference!E359</f>
        <v>0</v>
      </c>
      <c r="H49" s="13">
        <f>Reference!F359</f>
        <v>0</v>
      </c>
      <c r="I49" s="13">
        <f>Reference!G359</f>
        <v>0</v>
      </c>
      <c r="J49" s="14">
        <f t="shared" si="0"/>
        <v>0</v>
      </c>
      <c r="L49" s="12">
        <f>Test!B359</f>
        <v>0</v>
      </c>
      <c r="M49" s="13">
        <f>Test!C359</f>
        <v>0</v>
      </c>
      <c r="N49" s="13">
        <f>Test!D359</f>
        <v>0</v>
      </c>
      <c r="O49" s="13">
        <f>Test!E359</f>
        <v>0</v>
      </c>
      <c r="P49" s="13">
        <f>Test!F359</f>
        <v>0</v>
      </c>
      <c r="Q49" s="13">
        <f>Test!G359</f>
        <v>0</v>
      </c>
      <c r="R49" s="14">
        <f t="shared" si="1"/>
        <v>0</v>
      </c>
      <c r="S49" s="13" t="e">
        <f t="shared" si="2"/>
        <v>#DIV/0!</v>
      </c>
      <c r="T49" s="13" t="e">
        <f t="shared" si="3"/>
        <v>#DIV/0!</v>
      </c>
      <c r="U49" s="48"/>
      <c r="V49" s="31"/>
      <c r="W49" s="29"/>
      <c r="X49" s="43"/>
      <c r="Y49" s="31"/>
      <c r="Z49" s="29"/>
      <c r="AA49" s="43"/>
    </row>
    <row r="50" spans="1:27" ht="12.75" customHeight="1" thickBot="1" x14ac:dyDescent="0.25">
      <c r="A50" s="25"/>
      <c r="B50" s="26"/>
      <c r="C50" s="26">
        <v>37</v>
      </c>
      <c r="D50" s="16">
        <f>Reference!B360</f>
        <v>0</v>
      </c>
      <c r="E50" s="17">
        <f>Reference!C360</f>
        <v>0</v>
      </c>
      <c r="F50" s="17">
        <f>Reference!D360</f>
        <v>0</v>
      </c>
      <c r="G50" s="17">
        <f>Reference!E360</f>
        <v>0</v>
      </c>
      <c r="H50" s="17">
        <f>Reference!F360</f>
        <v>0</v>
      </c>
      <c r="I50" s="17">
        <f>Reference!G360</f>
        <v>0</v>
      </c>
      <c r="J50" s="18">
        <f t="shared" si="0"/>
        <v>0</v>
      </c>
      <c r="L50" s="16">
        <f>Test!B360</f>
        <v>0</v>
      </c>
      <c r="M50" s="17">
        <f>Test!C360</f>
        <v>0</v>
      </c>
      <c r="N50" s="17">
        <f>Test!D360</f>
        <v>0</v>
      </c>
      <c r="O50" s="17">
        <f>Test!E360</f>
        <v>0</v>
      </c>
      <c r="P50" s="17">
        <f>Test!F360</f>
        <v>0</v>
      </c>
      <c r="Q50" s="17">
        <f>Test!G360</f>
        <v>0</v>
      </c>
      <c r="R50" s="18">
        <f t="shared" si="1"/>
        <v>0</v>
      </c>
      <c r="S50" s="13" t="e">
        <f t="shared" si="2"/>
        <v>#DIV/0!</v>
      </c>
      <c r="T50" s="13" t="e">
        <f t="shared" si="3"/>
        <v>#DIV/0!</v>
      </c>
      <c r="U50" s="48"/>
      <c r="V50" s="32"/>
      <c r="W50" s="44"/>
      <c r="X50" s="45"/>
      <c r="Y50" s="32"/>
      <c r="Z50" s="44"/>
      <c r="AA50" s="45"/>
    </row>
    <row r="51" spans="1:27" x14ac:dyDescent="0.2">
      <c r="A51" s="25"/>
      <c r="B51" s="24" t="s">
        <v>45</v>
      </c>
      <c r="C51" s="24">
        <v>22</v>
      </c>
      <c r="D51" s="9">
        <f>Reference!B361</f>
        <v>0</v>
      </c>
      <c r="E51" s="10">
        <f>Reference!C361</f>
        <v>0</v>
      </c>
      <c r="F51" s="10">
        <f>Reference!D361</f>
        <v>0</v>
      </c>
      <c r="G51" s="10">
        <f>Reference!E361</f>
        <v>0</v>
      </c>
      <c r="H51" s="10">
        <f>Reference!F361</f>
        <v>0</v>
      </c>
      <c r="I51" s="10">
        <f>Reference!G361</f>
        <v>0</v>
      </c>
      <c r="J51" s="11">
        <f t="shared" si="0"/>
        <v>0</v>
      </c>
      <c r="L51" s="9">
        <f>Test!B361</f>
        <v>0</v>
      </c>
      <c r="M51" s="10">
        <f>Test!C361</f>
        <v>0</v>
      </c>
      <c r="N51" s="10">
        <f>Test!D361</f>
        <v>0</v>
      </c>
      <c r="O51" s="10">
        <f>Test!E361</f>
        <v>0</v>
      </c>
      <c r="P51" s="10">
        <f>Test!F361</f>
        <v>0</v>
      </c>
      <c r="Q51" s="10">
        <f>Test!G361</f>
        <v>0</v>
      </c>
      <c r="R51" s="11">
        <f t="shared" si="1"/>
        <v>0</v>
      </c>
      <c r="S51" s="13" t="e">
        <f t="shared" si="2"/>
        <v>#DIV/0!</v>
      </c>
      <c r="T51" s="13" t="e">
        <f t="shared" si="3"/>
        <v>#DIV/0!</v>
      </c>
      <c r="U51" s="48"/>
      <c r="V51" s="30" t="e">
        <f>bdrate($D51:$D54,E51:E54,$L51:$L54,M51:M54)</f>
        <v>#VALUE!</v>
      </c>
      <c r="W51" s="35" t="e">
        <f>bdrate($D51:$D54,F51:F54,$L51:$L54,N51:N54)</f>
        <v>#VALUE!</v>
      </c>
      <c r="X51" s="35" t="e">
        <f>bdrate($D51:$D54,G51:G54,$L51:$L54,O51:O54)</f>
        <v>#VALUE!</v>
      </c>
      <c r="Y51" s="33" t="e">
        <f>bdrateOld($D51:$D54,E51:E54,$L51:$L54,M51:M54)</f>
        <v>#VALUE!</v>
      </c>
      <c r="Z51" s="37" t="e">
        <f>bdrateOld($D51:$D54,F51:F54,$L51:$L54,N51:N54)</f>
        <v>#VALUE!</v>
      </c>
      <c r="AA51" s="38" t="e">
        <f>bdrateOld($D51:$D54,G51:G54,$L51:$L54,O51:O54)</f>
        <v>#VALUE!</v>
      </c>
    </row>
    <row r="52" spans="1:27" x14ac:dyDescent="0.2">
      <c r="A52" s="25"/>
      <c r="B52" s="25"/>
      <c r="C52" s="25">
        <v>27</v>
      </c>
      <c r="D52" s="12">
        <f>Reference!B362</f>
        <v>0</v>
      </c>
      <c r="E52" s="13">
        <f>Reference!C362</f>
        <v>0</v>
      </c>
      <c r="F52" s="13">
        <f>Reference!D362</f>
        <v>0</v>
      </c>
      <c r="G52" s="13">
        <f>Reference!E362</f>
        <v>0</v>
      </c>
      <c r="H52" s="13">
        <f>Reference!F362</f>
        <v>0</v>
      </c>
      <c r="I52" s="13">
        <f>Reference!G362</f>
        <v>0</v>
      </c>
      <c r="J52" s="14">
        <f t="shared" si="0"/>
        <v>0</v>
      </c>
      <c r="L52" s="12">
        <f>Test!B362</f>
        <v>0</v>
      </c>
      <c r="M52" s="13">
        <f>Test!C362</f>
        <v>0</v>
      </c>
      <c r="N52" s="13">
        <f>Test!D362</f>
        <v>0</v>
      </c>
      <c r="O52" s="13">
        <f>Test!E362</f>
        <v>0</v>
      </c>
      <c r="P52" s="13">
        <f>Test!F362</f>
        <v>0</v>
      </c>
      <c r="Q52" s="13">
        <f>Test!G362</f>
        <v>0</v>
      </c>
      <c r="R52" s="14">
        <f t="shared" si="1"/>
        <v>0</v>
      </c>
      <c r="S52" s="13" t="e">
        <f t="shared" si="2"/>
        <v>#DIV/0!</v>
      </c>
      <c r="T52" s="13" t="e">
        <f t="shared" si="3"/>
        <v>#DIV/0!</v>
      </c>
      <c r="U52" s="48"/>
      <c r="V52" s="31"/>
      <c r="W52" s="29"/>
      <c r="X52" s="29"/>
      <c r="Y52" s="31"/>
      <c r="Z52" s="29"/>
      <c r="AA52" s="43"/>
    </row>
    <row r="53" spans="1:27" x14ac:dyDescent="0.2">
      <c r="A53" s="25"/>
      <c r="B53" s="25"/>
      <c r="C53" s="25">
        <v>32</v>
      </c>
      <c r="D53" s="12">
        <f>Reference!B363</f>
        <v>0</v>
      </c>
      <c r="E53" s="13">
        <f>Reference!C363</f>
        <v>0</v>
      </c>
      <c r="F53" s="13">
        <f>Reference!D363</f>
        <v>0</v>
      </c>
      <c r="G53" s="13">
        <f>Reference!E363</f>
        <v>0</v>
      </c>
      <c r="H53" s="13">
        <f>Reference!F363</f>
        <v>0</v>
      </c>
      <c r="I53" s="13">
        <f>Reference!G363</f>
        <v>0</v>
      </c>
      <c r="J53" s="14">
        <f t="shared" si="0"/>
        <v>0</v>
      </c>
      <c r="L53" s="12">
        <f>Test!B363</f>
        <v>0</v>
      </c>
      <c r="M53" s="13">
        <f>Test!C363</f>
        <v>0</v>
      </c>
      <c r="N53" s="13">
        <f>Test!D363</f>
        <v>0</v>
      </c>
      <c r="O53" s="13">
        <f>Test!E363</f>
        <v>0</v>
      </c>
      <c r="P53" s="13">
        <f>Test!F363</f>
        <v>0</v>
      </c>
      <c r="Q53" s="13">
        <f>Test!G363</f>
        <v>0</v>
      </c>
      <c r="R53" s="14">
        <f t="shared" si="1"/>
        <v>0</v>
      </c>
      <c r="S53" s="13" t="e">
        <f t="shared" si="2"/>
        <v>#DIV/0!</v>
      </c>
      <c r="T53" s="13" t="e">
        <f t="shared" si="3"/>
        <v>#DIV/0!</v>
      </c>
      <c r="U53" s="48"/>
      <c r="V53" s="31"/>
      <c r="W53" s="29"/>
      <c r="X53" s="29"/>
      <c r="Y53" s="31"/>
      <c r="Z53" s="29"/>
      <c r="AA53" s="43"/>
    </row>
    <row r="54" spans="1:27" ht="12.75" customHeight="1" thickBot="1" x14ac:dyDescent="0.25">
      <c r="A54" s="25"/>
      <c r="B54" s="26"/>
      <c r="C54" s="26">
        <v>37</v>
      </c>
      <c r="D54" s="16">
        <f>Reference!B364</f>
        <v>0</v>
      </c>
      <c r="E54" s="17">
        <f>Reference!C364</f>
        <v>0</v>
      </c>
      <c r="F54" s="17">
        <f>Reference!D364</f>
        <v>0</v>
      </c>
      <c r="G54" s="17">
        <f>Reference!E364</f>
        <v>0</v>
      </c>
      <c r="H54" s="17">
        <f>Reference!F364</f>
        <v>0</v>
      </c>
      <c r="I54" s="17">
        <f>Reference!G364</f>
        <v>0</v>
      </c>
      <c r="J54" s="18">
        <f t="shared" si="0"/>
        <v>0</v>
      </c>
      <c r="L54" s="16">
        <f>Test!B364</f>
        <v>0</v>
      </c>
      <c r="M54" s="17">
        <f>Test!C364</f>
        <v>0</v>
      </c>
      <c r="N54" s="17">
        <f>Test!D364</f>
        <v>0</v>
      </c>
      <c r="O54" s="17">
        <f>Test!E364</f>
        <v>0</v>
      </c>
      <c r="P54" s="17">
        <f>Test!F364</f>
        <v>0</v>
      </c>
      <c r="Q54" s="17">
        <f>Test!G364</f>
        <v>0</v>
      </c>
      <c r="R54" s="18">
        <f t="shared" si="1"/>
        <v>0</v>
      </c>
      <c r="S54" s="13" t="e">
        <f t="shared" si="2"/>
        <v>#DIV/0!</v>
      </c>
      <c r="T54" s="13" t="e">
        <f t="shared" si="3"/>
        <v>#DIV/0!</v>
      </c>
      <c r="U54" s="48"/>
      <c r="V54" s="32"/>
      <c r="W54" s="44"/>
      <c r="X54" s="44"/>
      <c r="Y54" s="32"/>
      <c r="Z54" s="44"/>
      <c r="AA54" s="45"/>
    </row>
    <row r="55" spans="1:27" x14ac:dyDescent="0.2">
      <c r="A55" s="25"/>
      <c r="B55" s="24" t="s">
        <v>72</v>
      </c>
      <c r="C55" s="24">
        <v>22</v>
      </c>
      <c r="D55" s="9">
        <f>Reference!B365</f>
        <v>0</v>
      </c>
      <c r="E55" s="10">
        <f>Reference!C365</f>
        <v>0</v>
      </c>
      <c r="F55" s="10">
        <f>Reference!D365</f>
        <v>0</v>
      </c>
      <c r="G55" s="10">
        <f>Reference!E365</f>
        <v>0</v>
      </c>
      <c r="H55" s="10">
        <f>Reference!F365</f>
        <v>0</v>
      </c>
      <c r="I55" s="10">
        <f>Reference!G365</f>
        <v>0</v>
      </c>
      <c r="J55" s="11">
        <f t="shared" si="0"/>
        <v>0</v>
      </c>
      <c r="L55" s="9">
        <f>Test!B365</f>
        <v>0</v>
      </c>
      <c r="M55" s="10">
        <f>Test!C365</f>
        <v>0</v>
      </c>
      <c r="N55" s="10">
        <f>Test!D365</f>
        <v>0</v>
      </c>
      <c r="O55" s="10">
        <f>Test!E365</f>
        <v>0</v>
      </c>
      <c r="P55" s="10">
        <f>Test!F365</f>
        <v>0</v>
      </c>
      <c r="Q55" s="10">
        <f>Test!G365</f>
        <v>0</v>
      </c>
      <c r="R55" s="11">
        <f t="shared" si="1"/>
        <v>0</v>
      </c>
      <c r="S55" s="13" t="e">
        <f t="shared" si="2"/>
        <v>#DIV/0!</v>
      </c>
      <c r="T55" s="13" t="e">
        <f t="shared" si="3"/>
        <v>#DIV/0!</v>
      </c>
      <c r="U55" s="48"/>
      <c r="V55" s="30" t="e">
        <f>bdrate($D55:$D58,E55:E58,$L55:$L58,M55:M58)</f>
        <v>#VALUE!</v>
      </c>
      <c r="W55" s="35" t="e">
        <f>bdrate($D55:$D58,F55:F58,$L55:$L58,N55:N58)</f>
        <v>#VALUE!</v>
      </c>
      <c r="X55" s="35" t="e">
        <f>bdrate($D55:$D58,G55:G58,$L55:$L58,O55:O58)</f>
        <v>#VALUE!</v>
      </c>
      <c r="Y55" s="33" t="e">
        <f>bdrateOld($D55:$D58,E55:E58,$L55:$L58,M55:M58)</f>
        <v>#VALUE!</v>
      </c>
      <c r="Z55" s="37" t="e">
        <f>bdrateOld($D55:$D58,F55:F58,$L55:$L58,N55:N58)</f>
        <v>#VALUE!</v>
      </c>
      <c r="AA55" s="38" t="e">
        <f>bdrateOld($D55:$D58,G55:G58,$L55:$L58,O55:O58)</f>
        <v>#VALUE!</v>
      </c>
    </row>
    <row r="56" spans="1:27" x14ac:dyDescent="0.2">
      <c r="A56" s="25"/>
      <c r="B56" s="25"/>
      <c r="C56" s="25">
        <v>27</v>
      </c>
      <c r="D56" s="12">
        <f>Reference!B366</f>
        <v>0</v>
      </c>
      <c r="E56" s="13">
        <f>Reference!C366</f>
        <v>0</v>
      </c>
      <c r="F56" s="13">
        <f>Reference!D366</f>
        <v>0</v>
      </c>
      <c r="G56" s="13">
        <f>Reference!E366</f>
        <v>0</v>
      </c>
      <c r="H56" s="13">
        <f>Reference!F366</f>
        <v>0</v>
      </c>
      <c r="I56" s="13">
        <f>Reference!G366</f>
        <v>0</v>
      </c>
      <c r="J56" s="14">
        <f t="shared" si="0"/>
        <v>0</v>
      </c>
      <c r="L56" s="12">
        <f>Test!B366</f>
        <v>0</v>
      </c>
      <c r="M56" s="13">
        <f>Test!C366</f>
        <v>0</v>
      </c>
      <c r="N56" s="13">
        <f>Test!D366</f>
        <v>0</v>
      </c>
      <c r="O56" s="13">
        <f>Test!E366</f>
        <v>0</v>
      </c>
      <c r="P56" s="13">
        <f>Test!F366</f>
        <v>0</v>
      </c>
      <c r="Q56" s="13">
        <f>Test!G366</f>
        <v>0</v>
      </c>
      <c r="R56" s="14">
        <f t="shared" si="1"/>
        <v>0</v>
      </c>
      <c r="S56" s="13" t="e">
        <f t="shared" si="2"/>
        <v>#DIV/0!</v>
      </c>
      <c r="T56" s="13" t="e">
        <f t="shared" si="3"/>
        <v>#DIV/0!</v>
      </c>
      <c r="U56" s="48"/>
      <c r="V56" s="31"/>
      <c r="W56" s="29"/>
      <c r="X56" s="29"/>
      <c r="Y56" s="31"/>
      <c r="Z56" s="29"/>
      <c r="AA56" s="43"/>
    </row>
    <row r="57" spans="1:27" x14ac:dyDescent="0.2">
      <c r="A57" s="25"/>
      <c r="B57" s="25"/>
      <c r="C57" s="25">
        <v>32</v>
      </c>
      <c r="D57" s="12">
        <f>Reference!B367</f>
        <v>0</v>
      </c>
      <c r="E57" s="13">
        <f>Reference!C367</f>
        <v>0</v>
      </c>
      <c r="F57" s="13">
        <f>Reference!D367</f>
        <v>0</v>
      </c>
      <c r="G57" s="13">
        <f>Reference!E367</f>
        <v>0</v>
      </c>
      <c r="H57" s="13">
        <f>Reference!F367</f>
        <v>0</v>
      </c>
      <c r="I57" s="13">
        <f>Reference!G367</f>
        <v>0</v>
      </c>
      <c r="J57" s="14">
        <f t="shared" si="0"/>
        <v>0</v>
      </c>
      <c r="L57" s="12">
        <f>Test!B367</f>
        <v>0</v>
      </c>
      <c r="M57" s="13">
        <f>Test!C367</f>
        <v>0</v>
      </c>
      <c r="N57" s="13">
        <f>Test!D367</f>
        <v>0</v>
      </c>
      <c r="O57" s="13">
        <f>Test!E367</f>
        <v>0</v>
      </c>
      <c r="P57" s="13">
        <f>Test!F367</f>
        <v>0</v>
      </c>
      <c r="Q57" s="13">
        <f>Test!G367</f>
        <v>0</v>
      </c>
      <c r="R57" s="14">
        <f t="shared" si="1"/>
        <v>0</v>
      </c>
      <c r="S57" s="13" t="e">
        <f t="shared" si="2"/>
        <v>#DIV/0!</v>
      </c>
      <c r="T57" s="13" t="e">
        <f t="shared" si="3"/>
        <v>#DIV/0!</v>
      </c>
      <c r="U57" s="48"/>
      <c r="V57" s="31"/>
      <c r="W57" s="29"/>
      <c r="X57" s="29"/>
      <c r="Y57" s="31"/>
      <c r="Z57" s="29"/>
      <c r="AA57" s="43"/>
    </row>
    <row r="58" spans="1:27" ht="12.75" customHeight="1" thickBot="1" x14ac:dyDescent="0.25">
      <c r="A58" s="25"/>
      <c r="B58" s="26"/>
      <c r="C58" s="26">
        <v>37</v>
      </c>
      <c r="D58" s="16">
        <f>Reference!B368</f>
        <v>0</v>
      </c>
      <c r="E58" s="17">
        <f>Reference!C368</f>
        <v>0</v>
      </c>
      <c r="F58" s="17">
        <f>Reference!D368</f>
        <v>0</v>
      </c>
      <c r="G58" s="17">
        <f>Reference!E368</f>
        <v>0</v>
      </c>
      <c r="H58" s="17">
        <f>Reference!F368</f>
        <v>0</v>
      </c>
      <c r="I58" s="17">
        <f>Reference!G368</f>
        <v>0</v>
      </c>
      <c r="J58" s="18">
        <f t="shared" si="0"/>
        <v>0</v>
      </c>
      <c r="L58" s="16">
        <f>Test!B368</f>
        <v>0</v>
      </c>
      <c r="M58" s="17">
        <f>Test!C368</f>
        <v>0</v>
      </c>
      <c r="N58" s="17">
        <f>Test!D368</f>
        <v>0</v>
      </c>
      <c r="O58" s="17">
        <f>Test!E368</f>
        <v>0</v>
      </c>
      <c r="P58" s="17">
        <f>Test!F368</f>
        <v>0</v>
      </c>
      <c r="Q58" s="17">
        <f>Test!G368</f>
        <v>0</v>
      </c>
      <c r="R58" s="18">
        <f t="shared" si="1"/>
        <v>0</v>
      </c>
      <c r="S58" s="13" t="e">
        <f t="shared" si="2"/>
        <v>#DIV/0!</v>
      </c>
      <c r="T58" s="13" t="e">
        <f t="shared" si="3"/>
        <v>#DIV/0!</v>
      </c>
      <c r="U58" s="48"/>
      <c r="V58" s="32"/>
      <c r="W58" s="44"/>
      <c r="X58" s="44"/>
      <c r="Y58" s="32"/>
      <c r="Z58" s="44"/>
      <c r="AA58" s="45"/>
    </row>
    <row r="59" spans="1:27" x14ac:dyDescent="0.2">
      <c r="A59" s="25"/>
      <c r="B59" s="24" t="s">
        <v>51</v>
      </c>
      <c r="C59" s="24">
        <v>22</v>
      </c>
      <c r="D59" s="9">
        <f>Reference!B369</f>
        <v>0</v>
      </c>
      <c r="E59" s="10">
        <f>Reference!C369</f>
        <v>0</v>
      </c>
      <c r="F59" s="10">
        <f>Reference!D369</f>
        <v>0</v>
      </c>
      <c r="G59" s="10">
        <f>Reference!E369</f>
        <v>0</v>
      </c>
      <c r="H59" s="10">
        <f>Reference!F369</f>
        <v>0</v>
      </c>
      <c r="I59" s="10">
        <f>Reference!G369</f>
        <v>0</v>
      </c>
      <c r="J59" s="11">
        <f t="shared" ref="J59:J90" si="4">H59/3600</f>
        <v>0</v>
      </c>
      <c r="L59" s="9">
        <f>Test!B369</f>
        <v>0</v>
      </c>
      <c r="M59" s="10">
        <f>Test!C369</f>
        <v>0</v>
      </c>
      <c r="N59" s="10">
        <f>Test!D369</f>
        <v>0</v>
      </c>
      <c r="O59" s="10">
        <f>Test!E369</f>
        <v>0</v>
      </c>
      <c r="P59" s="10">
        <f>Test!F369</f>
        <v>0</v>
      </c>
      <c r="Q59" s="10">
        <f>Test!G369</f>
        <v>0</v>
      </c>
      <c r="R59" s="11">
        <f t="shared" ref="R59:R90" si="5">P59/3600</f>
        <v>0</v>
      </c>
      <c r="S59" s="13" t="e">
        <f t="shared" ref="S59:S90" si="6">P59/H59</f>
        <v>#DIV/0!</v>
      </c>
      <c r="T59" s="13" t="e">
        <f t="shared" ref="T59:T90" si="7">Q59/I59</f>
        <v>#DIV/0!</v>
      </c>
      <c r="U59" s="48"/>
      <c r="V59" s="30" t="e">
        <f>bdrate($D59:$D62,E59:E62,$L59:$L62,M59:M62)</f>
        <v>#VALUE!</v>
      </c>
      <c r="W59" s="35" t="e">
        <f>bdrate($D59:$D62,F59:F62,$L59:$L62,N59:N62)</f>
        <v>#VALUE!</v>
      </c>
      <c r="X59" s="35" t="e">
        <f>bdrate($D59:$D62,G59:G62,$L59:$L62,O59:O62)</f>
        <v>#VALUE!</v>
      </c>
      <c r="Y59" s="33" t="e">
        <f>bdrateOld($D59:$D62,E59:E62,$L59:$L62,M59:M62)</f>
        <v>#VALUE!</v>
      </c>
      <c r="Z59" s="37" t="e">
        <f>bdrateOld($D59:$D62,F59:F62,$L59:$L62,N59:N62)</f>
        <v>#VALUE!</v>
      </c>
      <c r="AA59" s="38" t="e">
        <f>bdrateOld($D59:$D62,G59:G62,$L59:$L62,O59:O62)</f>
        <v>#VALUE!</v>
      </c>
    </row>
    <row r="60" spans="1:27" x14ac:dyDescent="0.2">
      <c r="A60" s="25"/>
      <c r="B60" s="25"/>
      <c r="C60" s="25">
        <v>27</v>
      </c>
      <c r="D60" s="12">
        <f>Reference!B370</f>
        <v>0</v>
      </c>
      <c r="E60" s="13">
        <f>Reference!C370</f>
        <v>0</v>
      </c>
      <c r="F60" s="13">
        <f>Reference!D370</f>
        <v>0</v>
      </c>
      <c r="G60" s="13">
        <f>Reference!E370</f>
        <v>0</v>
      </c>
      <c r="H60" s="13">
        <f>Reference!F370</f>
        <v>0</v>
      </c>
      <c r="I60" s="13">
        <f>Reference!G370</f>
        <v>0</v>
      </c>
      <c r="J60" s="14">
        <f t="shared" si="4"/>
        <v>0</v>
      </c>
      <c r="L60" s="12">
        <f>Test!B370</f>
        <v>0</v>
      </c>
      <c r="M60" s="13">
        <f>Test!C370</f>
        <v>0</v>
      </c>
      <c r="N60" s="13">
        <f>Test!D370</f>
        <v>0</v>
      </c>
      <c r="O60" s="13">
        <f>Test!E370</f>
        <v>0</v>
      </c>
      <c r="P60" s="13">
        <f>Test!F370</f>
        <v>0</v>
      </c>
      <c r="Q60" s="13">
        <f>Test!G370</f>
        <v>0</v>
      </c>
      <c r="R60" s="14">
        <f t="shared" si="5"/>
        <v>0</v>
      </c>
      <c r="S60" s="13" t="e">
        <f t="shared" si="6"/>
        <v>#DIV/0!</v>
      </c>
      <c r="T60" s="13" t="e">
        <f t="shared" si="7"/>
        <v>#DIV/0!</v>
      </c>
      <c r="U60" s="48"/>
      <c r="V60" s="31"/>
      <c r="W60" s="29"/>
      <c r="X60" s="29"/>
      <c r="Y60" s="31"/>
      <c r="Z60" s="29"/>
      <c r="AA60" s="43"/>
    </row>
    <row r="61" spans="1:27" x14ac:dyDescent="0.2">
      <c r="A61" s="25"/>
      <c r="B61" s="25"/>
      <c r="C61" s="25">
        <v>32</v>
      </c>
      <c r="D61" s="12">
        <f>Reference!B371</f>
        <v>0</v>
      </c>
      <c r="E61" s="13">
        <f>Reference!C371</f>
        <v>0</v>
      </c>
      <c r="F61" s="13">
        <f>Reference!D371</f>
        <v>0</v>
      </c>
      <c r="G61" s="13">
        <f>Reference!E371</f>
        <v>0</v>
      </c>
      <c r="H61" s="13">
        <f>Reference!F371</f>
        <v>0</v>
      </c>
      <c r="I61" s="13">
        <f>Reference!G371</f>
        <v>0</v>
      </c>
      <c r="J61" s="14">
        <f t="shared" si="4"/>
        <v>0</v>
      </c>
      <c r="L61" s="12">
        <f>Test!B371</f>
        <v>0</v>
      </c>
      <c r="M61" s="13">
        <f>Test!C371</f>
        <v>0</v>
      </c>
      <c r="N61" s="13">
        <f>Test!D371</f>
        <v>0</v>
      </c>
      <c r="O61" s="13">
        <f>Test!E371</f>
        <v>0</v>
      </c>
      <c r="P61" s="13">
        <f>Test!F371</f>
        <v>0</v>
      </c>
      <c r="Q61" s="13">
        <f>Test!G371</f>
        <v>0</v>
      </c>
      <c r="R61" s="14">
        <f t="shared" si="5"/>
        <v>0</v>
      </c>
      <c r="S61" s="13" t="e">
        <f t="shared" si="6"/>
        <v>#DIV/0!</v>
      </c>
      <c r="T61" s="13" t="e">
        <f t="shared" si="7"/>
        <v>#DIV/0!</v>
      </c>
      <c r="U61" s="48"/>
      <c r="V61" s="31"/>
      <c r="W61" s="29"/>
      <c r="X61" s="29"/>
      <c r="Y61" s="31"/>
      <c r="Z61" s="29"/>
      <c r="AA61" s="43"/>
    </row>
    <row r="62" spans="1:27" ht="12.75" customHeight="1" thickBot="1" x14ac:dyDescent="0.25">
      <c r="A62" s="26"/>
      <c r="B62" s="26"/>
      <c r="C62" s="26">
        <v>37</v>
      </c>
      <c r="D62" s="16">
        <f>Reference!B372</f>
        <v>0</v>
      </c>
      <c r="E62" s="17">
        <f>Reference!C372</f>
        <v>0</v>
      </c>
      <c r="F62" s="17">
        <f>Reference!D372</f>
        <v>0</v>
      </c>
      <c r="G62" s="17">
        <f>Reference!E372</f>
        <v>0</v>
      </c>
      <c r="H62" s="17">
        <f>Reference!F372</f>
        <v>0</v>
      </c>
      <c r="I62" s="17">
        <f>Reference!G372</f>
        <v>0</v>
      </c>
      <c r="J62" s="18">
        <f t="shared" si="4"/>
        <v>0</v>
      </c>
      <c r="L62" s="16">
        <f>Test!B372</f>
        <v>0</v>
      </c>
      <c r="M62" s="17">
        <f>Test!C372</f>
        <v>0</v>
      </c>
      <c r="N62" s="17">
        <f>Test!D372</f>
        <v>0</v>
      </c>
      <c r="O62" s="17">
        <f>Test!E372</f>
        <v>0</v>
      </c>
      <c r="P62" s="17">
        <f>Test!F372</f>
        <v>0</v>
      </c>
      <c r="Q62" s="17">
        <f>Test!G372</f>
        <v>0</v>
      </c>
      <c r="R62" s="18">
        <f t="shared" si="5"/>
        <v>0</v>
      </c>
      <c r="S62" s="17" t="e">
        <f t="shared" si="6"/>
        <v>#DIV/0!</v>
      </c>
      <c r="T62" s="17" t="e">
        <f t="shared" si="7"/>
        <v>#DIV/0!</v>
      </c>
      <c r="U62" s="49"/>
      <c r="V62" s="32"/>
      <c r="W62" s="44"/>
      <c r="X62" s="44"/>
      <c r="Y62" s="32"/>
      <c r="Z62" s="44"/>
      <c r="AA62" s="45"/>
    </row>
    <row r="63" spans="1:27" x14ac:dyDescent="0.2">
      <c r="A63" s="24" t="s">
        <v>12</v>
      </c>
      <c r="B63" s="24" t="s">
        <v>48</v>
      </c>
      <c r="C63" s="24">
        <f>C59</f>
        <v>22</v>
      </c>
      <c r="D63" s="9">
        <f>Reference!B373</f>
        <v>0</v>
      </c>
      <c r="E63" s="10">
        <f>Reference!C373</f>
        <v>0</v>
      </c>
      <c r="F63" s="10">
        <f>Reference!D373</f>
        <v>0</v>
      </c>
      <c r="G63" s="10">
        <f>Reference!E373</f>
        <v>0</v>
      </c>
      <c r="H63" s="10">
        <f>Reference!F373</f>
        <v>0</v>
      </c>
      <c r="I63" s="10">
        <f>Reference!G373</f>
        <v>0</v>
      </c>
      <c r="J63" s="11">
        <f t="shared" si="4"/>
        <v>0</v>
      </c>
      <c r="L63" s="9">
        <f>Test!B373</f>
        <v>0</v>
      </c>
      <c r="M63" s="10">
        <f>Test!C373</f>
        <v>0</v>
      </c>
      <c r="N63" s="10">
        <f>Test!D373</f>
        <v>0</v>
      </c>
      <c r="O63" s="10">
        <f>Test!E373</f>
        <v>0</v>
      </c>
      <c r="P63" s="10">
        <f>Test!F373</f>
        <v>0</v>
      </c>
      <c r="Q63" s="10">
        <f>Test!G373</f>
        <v>0</v>
      </c>
      <c r="R63" s="11">
        <f t="shared" si="5"/>
        <v>0</v>
      </c>
      <c r="S63" s="10" t="e">
        <f t="shared" si="6"/>
        <v>#DIV/0!</v>
      </c>
      <c r="T63" s="10" t="e">
        <f t="shared" si="7"/>
        <v>#DIV/0!</v>
      </c>
      <c r="U63" s="47"/>
      <c r="V63" s="30" t="e">
        <f>bdrate($D63:$D66,E63:E66,$L63:$L66,M63:M66)</f>
        <v>#VALUE!</v>
      </c>
      <c r="W63" s="35" t="e">
        <f>bdrate($D63:$D66,F63:F66,$L63:$L66,N63:N66)</f>
        <v>#VALUE!</v>
      </c>
      <c r="X63" s="36" t="e">
        <f>bdrate($D63:$D66,G63:G66,$L63:$L66,O63:O66)</f>
        <v>#VALUE!</v>
      </c>
      <c r="Y63" s="30" t="e">
        <f>bdrateOld($D63:$D66,E63:E66,$L63:$L66,M63:M66)</f>
        <v>#VALUE!</v>
      </c>
      <c r="Z63" s="35" t="e">
        <f>bdrateOld($D63:$D66,F63:F66,$L63:$L66,N63:N66)</f>
        <v>#VALUE!</v>
      </c>
      <c r="AA63" s="36" t="e">
        <f>bdrateOld($D63:$D66,G63:G66,$L63:$L66,O63:O66)</f>
        <v>#VALUE!</v>
      </c>
    </row>
    <row r="64" spans="1:27" x14ac:dyDescent="0.2">
      <c r="A64" s="25" t="s">
        <v>73</v>
      </c>
      <c r="B64" s="25"/>
      <c r="C64" s="25">
        <f>C60</f>
        <v>27</v>
      </c>
      <c r="D64" s="12">
        <f>Reference!B374</f>
        <v>0</v>
      </c>
      <c r="E64" s="13">
        <f>Reference!C374</f>
        <v>0</v>
      </c>
      <c r="F64" s="13">
        <f>Reference!D374</f>
        <v>0</v>
      </c>
      <c r="G64" s="13">
        <f>Reference!E374</f>
        <v>0</v>
      </c>
      <c r="H64" s="13">
        <f>Reference!F374</f>
        <v>0</v>
      </c>
      <c r="I64" s="13">
        <f>Reference!G374</f>
        <v>0</v>
      </c>
      <c r="J64" s="14">
        <f t="shared" si="4"/>
        <v>0</v>
      </c>
      <c r="L64" s="12">
        <f>Test!B374</f>
        <v>0</v>
      </c>
      <c r="M64" s="13">
        <f>Test!C374</f>
        <v>0</v>
      </c>
      <c r="N64" s="13">
        <f>Test!D374</f>
        <v>0</v>
      </c>
      <c r="O64" s="13">
        <f>Test!E374</f>
        <v>0</v>
      </c>
      <c r="P64" s="13">
        <f>Test!F374</f>
        <v>0</v>
      </c>
      <c r="Q64" s="13">
        <f>Test!G374</f>
        <v>0</v>
      </c>
      <c r="R64" s="14">
        <f t="shared" si="5"/>
        <v>0</v>
      </c>
      <c r="S64" s="13" t="e">
        <f t="shared" si="6"/>
        <v>#DIV/0!</v>
      </c>
      <c r="T64" s="13" t="e">
        <f t="shared" si="7"/>
        <v>#DIV/0!</v>
      </c>
      <c r="U64" s="48"/>
      <c r="V64" s="31"/>
      <c r="W64" s="29"/>
      <c r="X64" s="43"/>
      <c r="Y64" s="31"/>
      <c r="Z64" s="29"/>
      <c r="AA64" s="43"/>
    </row>
    <row r="65" spans="1:27" x14ac:dyDescent="0.2">
      <c r="A65" s="25"/>
      <c r="B65" s="25"/>
      <c r="C65" s="25">
        <f>C61</f>
        <v>32</v>
      </c>
      <c r="D65" s="12">
        <f>Reference!B375</f>
        <v>0</v>
      </c>
      <c r="E65" s="13">
        <f>Reference!C375</f>
        <v>0</v>
      </c>
      <c r="F65" s="13">
        <f>Reference!D375</f>
        <v>0</v>
      </c>
      <c r="G65" s="13">
        <f>Reference!E375</f>
        <v>0</v>
      </c>
      <c r="H65" s="13">
        <f>Reference!F375</f>
        <v>0</v>
      </c>
      <c r="I65" s="13">
        <f>Reference!G375</f>
        <v>0</v>
      </c>
      <c r="J65" s="14">
        <f t="shared" si="4"/>
        <v>0</v>
      </c>
      <c r="L65" s="12">
        <f>Test!B375</f>
        <v>0</v>
      </c>
      <c r="M65" s="13">
        <f>Test!C375</f>
        <v>0</v>
      </c>
      <c r="N65" s="13">
        <f>Test!D375</f>
        <v>0</v>
      </c>
      <c r="O65" s="13">
        <f>Test!E375</f>
        <v>0</v>
      </c>
      <c r="P65" s="13">
        <f>Test!F375</f>
        <v>0</v>
      </c>
      <c r="Q65" s="13">
        <f>Test!G375</f>
        <v>0</v>
      </c>
      <c r="R65" s="14">
        <f t="shared" si="5"/>
        <v>0</v>
      </c>
      <c r="S65" s="13" t="e">
        <f t="shared" si="6"/>
        <v>#DIV/0!</v>
      </c>
      <c r="T65" s="13" t="e">
        <f t="shared" si="7"/>
        <v>#DIV/0!</v>
      </c>
      <c r="U65" s="48"/>
      <c r="V65" s="31"/>
      <c r="W65" s="29"/>
      <c r="X65" s="43"/>
      <c r="Y65" s="31"/>
      <c r="Z65" s="29"/>
      <c r="AA65" s="43"/>
    </row>
    <row r="66" spans="1:27" ht="12.75" customHeight="1" thickBot="1" x14ac:dyDescent="0.25">
      <c r="A66" s="25"/>
      <c r="B66" s="26"/>
      <c r="C66" s="26">
        <f>C62</f>
        <v>37</v>
      </c>
      <c r="D66" s="16">
        <f>Reference!B376</f>
        <v>0</v>
      </c>
      <c r="E66" s="17">
        <f>Reference!C376</f>
        <v>0</v>
      </c>
      <c r="F66" s="17">
        <f>Reference!D376</f>
        <v>0</v>
      </c>
      <c r="G66" s="17">
        <f>Reference!E376</f>
        <v>0</v>
      </c>
      <c r="H66" s="17">
        <f>Reference!F376</f>
        <v>0</v>
      </c>
      <c r="I66" s="17">
        <f>Reference!G376</f>
        <v>0</v>
      </c>
      <c r="J66" s="18">
        <f t="shared" si="4"/>
        <v>0</v>
      </c>
      <c r="L66" s="16">
        <f>Test!B376</f>
        <v>0</v>
      </c>
      <c r="M66" s="17">
        <f>Test!C376</f>
        <v>0</v>
      </c>
      <c r="N66" s="17">
        <f>Test!D376</f>
        <v>0</v>
      </c>
      <c r="O66" s="17">
        <f>Test!E376</f>
        <v>0</v>
      </c>
      <c r="P66" s="17">
        <f>Test!F376</f>
        <v>0</v>
      </c>
      <c r="Q66" s="17">
        <f>Test!G376</f>
        <v>0</v>
      </c>
      <c r="R66" s="18">
        <f t="shared" si="5"/>
        <v>0</v>
      </c>
      <c r="S66" s="13" t="e">
        <f t="shared" si="6"/>
        <v>#DIV/0!</v>
      </c>
      <c r="T66" s="13" t="e">
        <f t="shared" si="7"/>
        <v>#DIV/0!</v>
      </c>
      <c r="U66" s="48"/>
      <c r="V66" s="32"/>
      <c r="W66" s="44"/>
      <c r="X66" s="45"/>
      <c r="Y66" s="32"/>
      <c r="Z66" s="44"/>
      <c r="AA66" s="45"/>
    </row>
    <row r="67" spans="1:27" x14ac:dyDescent="0.2">
      <c r="A67" s="25"/>
      <c r="B67" s="24" t="s">
        <v>49</v>
      </c>
      <c r="C67" s="24">
        <v>22</v>
      </c>
      <c r="D67" s="9">
        <f>Reference!B377</f>
        <v>0</v>
      </c>
      <c r="E67" s="10">
        <f>Reference!C377</f>
        <v>0</v>
      </c>
      <c r="F67" s="10">
        <f>Reference!D377</f>
        <v>0</v>
      </c>
      <c r="G67" s="10">
        <f>Reference!E377</f>
        <v>0</v>
      </c>
      <c r="H67" s="10">
        <f>Reference!F377</f>
        <v>0</v>
      </c>
      <c r="I67" s="10">
        <f>Reference!G377</f>
        <v>0</v>
      </c>
      <c r="J67" s="11">
        <f t="shared" si="4"/>
        <v>0</v>
      </c>
      <c r="L67" s="9">
        <f>Test!B377</f>
        <v>0</v>
      </c>
      <c r="M67" s="10">
        <f>Test!C377</f>
        <v>0</v>
      </c>
      <c r="N67" s="10">
        <f>Test!D377</f>
        <v>0</v>
      </c>
      <c r="O67" s="10">
        <f>Test!E377</f>
        <v>0</v>
      </c>
      <c r="P67" s="10">
        <f>Test!F377</f>
        <v>0</v>
      </c>
      <c r="Q67" s="10">
        <f>Test!G377</f>
        <v>0</v>
      </c>
      <c r="R67" s="11">
        <f t="shared" si="5"/>
        <v>0</v>
      </c>
      <c r="S67" s="13" t="e">
        <f t="shared" si="6"/>
        <v>#DIV/0!</v>
      </c>
      <c r="T67" s="13" t="e">
        <f t="shared" si="7"/>
        <v>#DIV/0!</v>
      </c>
      <c r="U67" s="48"/>
      <c r="V67" s="30" t="e">
        <f>bdrate($D67:$D70,E67:E70,$L67:$L70,M67:M70)</f>
        <v>#VALUE!</v>
      </c>
      <c r="W67" s="35" t="e">
        <f>bdrate($D67:$D70,F67:F70,$L67:$L70,N67:N70)</f>
        <v>#VALUE!</v>
      </c>
      <c r="X67" s="35" t="e">
        <f>bdrate($D67:$D70,G67:G70,$L67:$L70,O67:O70)</f>
        <v>#VALUE!</v>
      </c>
      <c r="Y67" s="33" t="e">
        <f>bdrateOld($D67:$D70,E67:E70,$L67:$L70,M67:M70)</f>
        <v>#VALUE!</v>
      </c>
      <c r="Z67" s="37" t="e">
        <f>bdrateOld($D67:$D70,F67:F70,$L67:$L70,N67:N70)</f>
        <v>#VALUE!</v>
      </c>
      <c r="AA67" s="38" t="e">
        <f>bdrateOld($D67:$D70,G67:G70,$L67:$L70,O67:O70)</f>
        <v>#VALUE!</v>
      </c>
    </row>
    <row r="68" spans="1:27" x14ac:dyDescent="0.2">
      <c r="A68" s="25"/>
      <c r="B68" s="25"/>
      <c r="C68" s="25">
        <v>27</v>
      </c>
      <c r="D68" s="12">
        <f>Reference!B378</f>
        <v>0</v>
      </c>
      <c r="E68" s="13">
        <f>Reference!C378</f>
        <v>0</v>
      </c>
      <c r="F68" s="13">
        <f>Reference!D378</f>
        <v>0</v>
      </c>
      <c r="G68" s="13">
        <f>Reference!E378</f>
        <v>0</v>
      </c>
      <c r="H68" s="13">
        <f>Reference!F378</f>
        <v>0</v>
      </c>
      <c r="I68" s="13">
        <f>Reference!G378</f>
        <v>0</v>
      </c>
      <c r="J68" s="14">
        <f t="shared" si="4"/>
        <v>0</v>
      </c>
      <c r="L68" s="12">
        <f>Test!B378</f>
        <v>0</v>
      </c>
      <c r="M68" s="13">
        <f>Test!C378</f>
        <v>0</v>
      </c>
      <c r="N68" s="13">
        <f>Test!D378</f>
        <v>0</v>
      </c>
      <c r="O68" s="13">
        <f>Test!E378</f>
        <v>0</v>
      </c>
      <c r="P68" s="13">
        <f>Test!F378</f>
        <v>0</v>
      </c>
      <c r="Q68" s="13">
        <f>Test!G378</f>
        <v>0</v>
      </c>
      <c r="R68" s="14">
        <f t="shared" si="5"/>
        <v>0</v>
      </c>
      <c r="S68" s="13" t="e">
        <f t="shared" si="6"/>
        <v>#DIV/0!</v>
      </c>
      <c r="T68" s="13" t="e">
        <f t="shared" si="7"/>
        <v>#DIV/0!</v>
      </c>
      <c r="U68" s="48"/>
      <c r="V68" s="31"/>
      <c r="W68" s="29"/>
      <c r="X68" s="29"/>
      <c r="Y68" s="31"/>
      <c r="Z68" s="29"/>
      <c r="AA68" s="43"/>
    </row>
    <row r="69" spans="1:27" x14ac:dyDescent="0.2">
      <c r="A69" s="25"/>
      <c r="B69" s="25"/>
      <c r="C69" s="25">
        <v>32</v>
      </c>
      <c r="D69" s="12">
        <f>Reference!B379</f>
        <v>0</v>
      </c>
      <c r="E69" s="13">
        <f>Reference!C379</f>
        <v>0</v>
      </c>
      <c r="F69" s="13">
        <f>Reference!D379</f>
        <v>0</v>
      </c>
      <c r="G69" s="13">
        <f>Reference!E379</f>
        <v>0</v>
      </c>
      <c r="H69" s="13">
        <f>Reference!F379</f>
        <v>0</v>
      </c>
      <c r="I69" s="13">
        <f>Reference!G379</f>
        <v>0</v>
      </c>
      <c r="J69" s="14">
        <f t="shared" si="4"/>
        <v>0</v>
      </c>
      <c r="L69" s="12">
        <f>Test!B379</f>
        <v>0</v>
      </c>
      <c r="M69" s="13">
        <f>Test!C379</f>
        <v>0</v>
      </c>
      <c r="N69" s="13">
        <f>Test!D379</f>
        <v>0</v>
      </c>
      <c r="O69" s="13">
        <f>Test!E379</f>
        <v>0</v>
      </c>
      <c r="P69" s="13">
        <f>Test!F379</f>
        <v>0</v>
      </c>
      <c r="Q69" s="13">
        <f>Test!G379</f>
        <v>0</v>
      </c>
      <c r="R69" s="14">
        <f t="shared" si="5"/>
        <v>0</v>
      </c>
      <c r="S69" s="13" t="e">
        <f t="shared" si="6"/>
        <v>#DIV/0!</v>
      </c>
      <c r="T69" s="13" t="e">
        <f t="shared" si="7"/>
        <v>#DIV/0!</v>
      </c>
      <c r="U69" s="48"/>
      <c r="V69" s="31"/>
      <c r="W69" s="29"/>
      <c r="X69" s="29"/>
      <c r="Y69" s="31"/>
      <c r="Z69" s="29"/>
      <c r="AA69" s="43"/>
    </row>
    <row r="70" spans="1:27" ht="12.75" customHeight="1" thickBot="1" x14ac:dyDescent="0.25">
      <c r="A70" s="25"/>
      <c r="B70" s="26"/>
      <c r="C70" s="26">
        <v>37</v>
      </c>
      <c r="D70" s="16">
        <f>Reference!B380</f>
        <v>0</v>
      </c>
      <c r="E70" s="17">
        <f>Reference!C380</f>
        <v>0</v>
      </c>
      <c r="F70" s="17">
        <f>Reference!D380</f>
        <v>0</v>
      </c>
      <c r="G70" s="17">
        <f>Reference!E380</f>
        <v>0</v>
      </c>
      <c r="H70" s="17">
        <f>Reference!F380</f>
        <v>0</v>
      </c>
      <c r="I70" s="17">
        <f>Reference!G380</f>
        <v>0</v>
      </c>
      <c r="J70" s="18">
        <f t="shared" si="4"/>
        <v>0</v>
      </c>
      <c r="L70" s="16">
        <f>Test!B380</f>
        <v>0</v>
      </c>
      <c r="M70" s="17">
        <f>Test!C380</f>
        <v>0</v>
      </c>
      <c r="N70" s="17">
        <f>Test!D380</f>
        <v>0</v>
      </c>
      <c r="O70" s="17">
        <f>Test!E380</f>
        <v>0</v>
      </c>
      <c r="P70" s="17">
        <f>Test!F380</f>
        <v>0</v>
      </c>
      <c r="Q70" s="17">
        <f>Test!G380</f>
        <v>0</v>
      </c>
      <c r="R70" s="18">
        <f t="shared" si="5"/>
        <v>0</v>
      </c>
      <c r="S70" s="13" t="e">
        <f t="shared" si="6"/>
        <v>#DIV/0!</v>
      </c>
      <c r="T70" s="13" t="e">
        <f t="shared" si="7"/>
        <v>#DIV/0!</v>
      </c>
      <c r="U70" s="48"/>
      <c r="V70" s="32"/>
      <c r="W70" s="44"/>
      <c r="X70" s="44"/>
      <c r="Y70" s="32"/>
      <c r="Z70" s="44"/>
      <c r="AA70" s="45"/>
    </row>
    <row r="71" spans="1:27" x14ac:dyDescent="0.2">
      <c r="A71" s="25"/>
      <c r="B71" s="24" t="s">
        <v>50</v>
      </c>
      <c r="C71" s="24">
        <v>22</v>
      </c>
      <c r="D71" s="9">
        <f>Reference!B381</f>
        <v>0</v>
      </c>
      <c r="E71" s="10">
        <f>Reference!C381</f>
        <v>0</v>
      </c>
      <c r="F71" s="10">
        <f>Reference!D381</f>
        <v>0</v>
      </c>
      <c r="G71" s="10">
        <f>Reference!E381</f>
        <v>0</v>
      </c>
      <c r="H71" s="10">
        <f>Reference!F381</f>
        <v>0</v>
      </c>
      <c r="I71" s="10">
        <f>Reference!G381</f>
        <v>0</v>
      </c>
      <c r="J71" s="11">
        <f t="shared" si="4"/>
        <v>0</v>
      </c>
      <c r="L71" s="9">
        <f>Test!B381</f>
        <v>0</v>
      </c>
      <c r="M71" s="10">
        <f>Test!C381</f>
        <v>0</v>
      </c>
      <c r="N71" s="10">
        <f>Test!D381</f>
        <v>0</v>
      </c>
      <c r="O71" s="10">
        <f>Test!E381</f>
        <v>0</v>
      </c>
      <c r="P71" s="10">
        <f>Test!F381</f>
        <v>0</v>
      </c>
      <c r="Q71" s="10">
        <f>Test!G381</f>
        <v>0</v>
      </c>
      <c r="R71" s="11">
        <f t="shared" si="5"/>
        <v>0</v>
      </c>
      <c r="S71" s="13" t="e">
        <f t="shared" si="6"/>
        <v>#DIV/0!</v>
      </c>
      <c r="T71" s="13" t="e">
        <f t="shared" si="7"/>
        <v>#DIV/0!</v>
      </c>
      <c r="U71" s="48"/>
      <c r="V71" s="30" t="e">
        <f>bdrate($D71:$D74,E71:E74,$L71:$L74,M71:M74)</f>
        <v>#VALUE!</v>
      </c>
      <c r="W71" s="35" t="e">
        <f>bdrate($D71:$D74,F71:F74,$L71:$L74,N71:N74)</f>
        <v>#VALUE!</v>
      </c>
      <c r="X71" s="35" t="e">
        <f>bdrate($D71:$D74,G71:G74,$L71:$L74,O71:O74)</f>
        <v>#VALUE!</v>
      </c>
      <c r="Y71" s="33" t="e">
        <f>bdrateOld($D71:$D74,E71:E74,$L71:$L74,M71:M74)</f>
        <v>#VALUE!</v>
      </c>
      <c r="Z71" s="37" t="e">
        <f>bdrateOld($D71:$D74,F71:F74,$L71:$L74,N71:N74)</f>
        <v>#VALUE!</v>
      </c>
      <c r="AA71" s="38" t="e">
        <f>bdrateOld($D71:$D74,G71:G74,$L71:$L74,O71:O74)</f>
        <v>#VALUE!</v>
      </c>
    </row>
    <row r="72" spans="1:27" x14ac:dyDescent="0.2">
      <c r="A72" s="25"/>
      <c r="B72" s="25"/>
      <c r="C72" s="25">
        <v>27</v>
      </c>
      <c r="D72" s="12">
        <f>Reference!B382</f>
        <v>0</v>
      </c>
      <c r="E72" s="13">
        <f>Reference!C382</f>
        <v>0</v>
      </c>
      <c r="F72" s="13">
        <f>Reference!D382</f>
        <v>0</v>
      </c>
      <c r="G72" s="13">
        <f>Reference!E382</f>
        <v>0</v>
      </c>
      <c r="H72" s="13">
        <f>Reference!F382</f>
        <v>0</v>
      </c>
      <c r="I72" s="13">
        <f>Reference!G382</f>
        <v>0</v>
      </c>
      <c r="J72" s="14">
        <f t="shared" si="4"/>
        <v>0</v>
      </c>
      <c r="L72" s="12">
        <f>Test!B382</f>
        <v>0</v>
      </c>
      <c r="M72" s="13">
        <f>Test!C382</f>
        <v>0</v>
      </c>
      <c r="N72" s="13">
        <f>Test!D382</f>
        <v>0</v>
      </c>
      <c r="O72" s="13">
        <f>Test!E382</f>
        <v>0</v>
      </c>
      <c r="P72" s="13">
        <f>Test!F382</f>
        <v>0</v>
      </c>
      <c r="Q72" s="13">
        <f>Test!G382</f>
        <v>0</v>
      </c>
      <c r="R72" s="14">
        <f t="shared" si="5"/>
        <v>0</v>
      </c>
      <c r="S72" s="13" t="e">
        <f t="shared" si="6"/>
        <v>#DIV/0!</v>
      </c>
      <c r="T72" s="13" t="e">
        <f t="shared" si="7"/>
        <v>#DIV/0!</v>
      </c>
      <c r="U72" s="48"/>
      <c r="V72" s="31"/>
      <c r="W72" s="29"/>
      <c r="X72" s="29"/>
      <c r="Y72" s="31"/>
      <c r="Z72" s="29"/>
      <c r="AA72" s="43"/>
    </row>
    <row r="73" spans="1:27" x14ac:dyDescent="0.2">
      <c r="A73" s="25"/>
      <c r="B73" s="25"/>
      <c r="C73" s="25">
        <v>32</v>
      </c>
      <c r="D73" s="12">
        <f>Reference!B383</f>
        <v>0</v>
      </c>
      <c r="E73" s="13">
        <f>Reference!C383</f>
        <v>0</v>
      </c>
      <c r="F73" s="13">
        <f>Reference!D383</f>
        <v>0</v>
      </c>
      <c r="G73" s="13">
        <f>Reference!E383</f>
        <v>0</v>
      </c>
      <c r="H73" s="13">
        <f>Reference!F383</f>
        <v>0</v>
      </c>
      <c r="I73" s="13">
        <f>Reference!G383</f>
        <v>0</v>
      </c>
      <c r="J73" s="14">
        <f t="shared" si="4"/>
        <v>0</v>
      </c>
      <c r="L73" s="12">
        <f>Test!B383</f>
        <v>0</v>
      </c>
      <c r="M73" s="13">
        <f>Test!C383</f>
        <v>0</v>
      </c>
      <c r="N73" s="13">
        <f>Test!D383</f>
        <v>0</v>
      </c>
      <c r="O73" s="13">
        <f>Test!E383</f>
        <v>0</v>
      </c>
      <c r="P73" s="13">
        <f>Test!F383</f>
        <v>0</v>
      </c>
      <c r="Q73" s="13">
        <f>Test!G383</f>
        <v>0</v>
      </c>
      <c r="R73" s="14">
        <f t="shared" si="5"/>
        <v>0</v>
      </c>
      <c r="S73" s="13" t="e">
        <f t="shared" si="6"/>
        <v>#DIV/0!</v>
      </c>
      <c r="T73" s="13" t="e">
        <f t="shared" si="7"/>
        <v>#DIV/0!</v>
      </c>
      <c r="U73" s="48"/>
      <c r="V73" s="31"/>
      <c r="W73" s="29"/>
      <c r="X73" s="29"/>
      <c r="Y73" s="31"/>
      <c r="Z73" s="29"/>
      <c r="AA73" s="43"/>
    </row>
    <row r="74" spans="1:27" ht="12.75" customHeight="1" thickBot="1" x14ac:dyDescent="0.25">
      <c r="A74" s="25"/>
      <c r="B74" s="26"/>
      <c r="C74" s="26">
        <v>37</v>
      </c>
      <c r="D74" s="16">
        <f>Reference!B384</f>
        <v>0</v>
      </c>
      <c r="E74" s="17">
        <f>Reference!C384</f>
        <v>0</v>
      </c>
      <c r="F74" s="17">
        <f>Reference!D384</f>
        <v>0</v>
      </c>
      <c r="G74" s="17">
        <f>Reference!E384</f>
        <v>0</v>
      </c>
      <c r="H74" s="17">
        <f>Reference!F384</f>
        <v>0</v>
      </c>
      <c r="I74" s="17">
        <f>Reference!G384</f>
        <v>0</v>
      </c>
      <c r="J74" s="18">
        <f t="shared" si="4"/>
        <v>0</v>
      </c>
      <c r="L74" s="16">
        <f>Test!B384</f>
        <v>0</v>
      </c>
      <c r="M74" s="17">
        <f>Test!C384</f>
        <v>0</v>
      </c>
      <c r="N74" s="17">
        <f>Test!D384</f>
        <v>0</v>
      </c>
      <c r="O74" s="17">
        <f>Test!E384</f>
        <v>0</v>
      </c>
      <c r="P74" s="17">
        <f>Test!F384</f>
        <v>0</v>
      </c>
      <c r="Q74" s="17">
        <f>Test!G384</f>
        <v>0</v>
      </c>
      <c r="R74" s="18">
        <f t="shared" si="5"/>
        <v>0</v>
      </c>
      <c r="S74" s="13" t="e">
        <f t="shared" si="6"/>
        <v>#DIV/0!</v>
      </c>
      <c r="T74" s="13" t="e">
        <f t="shared" si="7"/>
        <v>#DIV/0!</v>
      </c>
      <c r="U74" s="48"/>
      <c r="V74" s="32"/>
      <c r="W74" s="44"/>
      <c r="X74" s="44"/>
      <c r="Y74" s="32"/>
      <c r="Z74" s="44"/>
      <c r="AA74" s="45"/>
    </row>
    <row r="75" spans="1:27" x14ac:dyDescent="0.2">
      <c r="A75" s="25"/>
      <c r="B75" s="24" t="s">
        <v>51</v>
      </c>
      <c r="C75" s="24">
        <v>22</v>
      </c>
      <c r="D75" s="9">
        <f>Reference!B385</f>
        <v>0</v>
      </c>
      <c r="E75" s="10">
        <f>Reference!C385</f>
        <v>0</v>
      </c>
      <c r="F75" s="10">
        <f>Reference!D385</f>
        <v>0</v>
      </c>
      <c r="G75" s="10">
        <f>Reference!E385</f>
        <v>0</v>
      </c>
      <c r="H75" s="10">
        <f>Reference!F385</f>
        <v>0</v>
      </c>
      <c r="I75" s="10">
        <f>Reference!G385</f>
        <v>0</v>
      </c>
      <c r="J75" s="11">
        <f t="shared" si="4"/>
        <v>0</v>
      </c>
      <c r="L75" s="9">
        <f>Test!B385</f>
        <v>0</v>
      </c>
      <c r="M75" s="10">
        <f>Test!C385</f>
        <v>0</v>
      </c>
      <c r="N75" s="10">
        <f>Test!D385</f>
        <v>0</v>
      </c>
      <c r="O75" s="10">
        <f>Test!E385</f>
        <v>0</v>
      </c>
      <c r="P75" s="10">
        <f>Test!F385</f>
        <v>0</v>
      </c>
      <c r="Q75" s="10">
        <f>Test!G385</f>
        <v>0</v>
      </c>
      <c r="R75" s="11">
        <f t="shared" si="5"/>
        <v>0</v>
      </c>
      <c r="S75" s="13" t="e">
        <f t="shared" si="6"/>
        <v>#DIV/0!</v>
      </c>
      <c r="T75" s="13" t="e">
        <f t="shared" si="7"/>
        <v>#DIV/0!</v>
      </c>
      <c r="U75" s="48"/>
      <c r="V75" s="30" t="e">
        <f>bdrate($D75:$D78,E75:E78,$L75:$L78,M75:M78)</f>
        <v>#VALUE!</v>
      </c>
      <c r="W75" s="35" t="e">
        <f>bdrate($D75:$D78,F75:F78,$L75:$L78,N75:N78)</f>
        <v>#VALUE!</v>
      </c>
      <c r="X75" s="35" t="e">
        <f>bdrate($D75:$D78,G75:G78,$L75:$L78,O75:O78)</f>
        <v>#VALUE!</v>
      </c>
      <c r="Y75" s="33" t="e">
        <f>bdrateOld($D75:$D78,E75:E78,$L75:$L78,M75:M78)</f>
        <v>#VALUE!</v>
      </c>
      <c r="Z75" s="37" t="e">
        <f>bdrateOld($D75:$D78,F75:F78,$L75:$L78,N75:N78)</f>
        <v>#VALUE!</v>
      </c>
      <c r="AA75" s="38" t="e">
        <f>bdrateOld($D75:$D78,G75:G78,$L75:$L78,O75:O78)</f>
        <v>#VALUE!</v>
      </c>
    </row>
    <row r="76" spans="1:27" x14ac:dyDescent="0.2">
      <c r="A76" s="25"/>
      <c r="B76" s="25"/>
      <c r="C76" s="25">
        <v>27</v>
      </c>
      <c r="D76" s="12">
        <f>Reference!B386</f>
        <v>0</v>
      </c>
      <c r="E76" s="13">
        <f>Reference!C386</f>
        <v>0</v>
      </c>
      <c r="F76" s="13">
        <f>Reference!D386</f>
        <v>0</v>
      </c>
      <c r="G76" s="13">
        <f>Reference!E386</f>
        <v>0</v>
      </c>
      <c r="H76" s="13">
        <f>Reference!F386</f>
        <v>0</v>
      </c>
      <c r="I76" s="13">
        <f>Reference!G386</f>
        <v>0</v>
      </c>
      <c r="J76" s="14">
        <f t="shared" si="4"/>
        <v>0</v>
      </c>
      <c r="L76" s="12">
        <f>Test!B386</f>
        <v>0</v>
      </c>
      <c r="M76" s="13">
        <f>Test!C386</f>
        <v>0</v>
      </c>
      <c r="N76" s="13">
        <f>Test!D386</f>
        <v>0</v>
      </c>
      <c r="O76" s="13">
        <f>Test!E386</f>
        <v>0</v>
      </c>
      <c r="P76" s="13">
        <f>Test!F386</f>
        <v>0</v>
      </c>
      <c r="Q76" s="13">
        <f>Test!G386</f>
        <v>0</v>
      </c>
      <c r="R76" s="14">
        <f t="shared" si="5"/>
        <v>0</v>
      </c>
      <c r="S76" s="13" t="e">
        <f t="shared" si="6"/>
        <v>#DIV/0!</v>
      </c>
      <c r="T76" s="13" t="e">
        <f t="shared" si="7"/>
        <v>#DIV/0!</v>
      </c>
      <c r="U76" s="48"/>
      <c r="V76" s="31"/>
      <c r="W76" s="29"/>
      <c r="X76" s="29"/>
      <c r="Y76" s="31"/>
      <c r="Z76" s="29"/>
      <c r="AA76" s="43"/>
    </row>
    <row r="77" spans="1:27" x14ac:dyDescent="0.2">
      <c r="A77" s="25"/>
      <c r="B77" s="25"/>
      <c r="C77" s="25">
        <v>32</v>
      </c>
      <c r="D77" s="12">
        <f>Reference!B387</f>
        <v>0</v>
      </c>
      <c r="E77" s="13">
        <f>Reference!C387</f>
        <v>0</v>
      </c>
      <c r="F77" s="13">
        <f>Reference!D387</f>
        <v>0</v>
      </c>
      <c r="G77" s="13">
        <f>Reference!E387</f>
        <v>0</v>
      </c>
      <c r="H77" s="13">
        <f>Reference!F387</f>
        <v>0</v>
      </c>
      <c r="I77" s="13">
        <f>Reference!G387</f>
        <v>0</v>
      </c>
      <c r="J77" s="14">
        <f t="shared" si="4"/>
        <v>0</v>
      </c>
      <c r="L77" s="12">
        <f>Test!B387</f>
        <v>0</v>
      </c>
      <c r="M77" s="13">
        <f>Test!C387</f>
        <v>0</v>
      </c>
      <c r="N77" s="13">
        <f>Test!D387</f>
        <v>0</v>
      </c>
      <c r="O77" s="13">
        <f>Test!E387</f>
        <v>0</v>
      </c>
      <c r="P77" s="13">
        <f>Test!F387</f>
        <v>0</v>
      </c>
      <c r="Q77" s="13">
        <f>Test!G387</f>
        <v>0</v>
      </c>
      <c r="R77" s="14">
        <f t="shared" si="5"/>
        <v>0</v>
      </c>
      <c r="S77" s="13" t="e">
        <f t="shared" si="6"/>
        <v>#DIV/0!</v>
      </c>
      <c r="T77" s="13" t="e">
        <f t="shared" si="7"/>
        <v>#DIV/0!</v>
      </c>
      <c r="U77" s="48"/>
      <c r="V77" s="31"/>
      <c r="W77" s="29"/>
      <c r="X77" s="29"/>
      <c r="Y77" s="31"/>
      <c r="Z77" s="29"/>
      <c r="AA77" s="43"/>
    </row>
    <row r="78" spans="1:27" ht="12.75" customHeight="1" thickBot="1" x14ac:dyDescent="0.25">
      <c r="A78" s="26"/>
      <c r="B78" s="26"/>
      <c r="C78" s="26">
        <v>37</v>
      </c>
      <c r="D78" s="16">
        <f>Reference!B388</f>
        <v>0</v>
      </c>
      <c r="E78" s="17">
        <f>Reference!C388</f>
        <v>0</v>
      </c>
      <c r="F78" s="17">
        <f>Reference!D388</f>
        <v>0</v>
      </c>
      <c r="G78" s="17">
        <f>Reference!E388</f>
        <v>0</v>
      </c>
      <c r="H78" s="17">
        <f>Reference!F388</f>
        <v>0</v>
      </c>
      <c r="I78" s="17">
        <f>Reference!G388</f>
        <v>0</v>
      </c>
      <c r="J78" s="18">
        <f t="shared" si="4"/>
        <v>0</v>
      </c>
      <c r="L78" s="16">
        <f>Test!B388</f>
        <v>0</v>
      </c>
      <c r="M78" s="17">
        <f>Test!C388</f>
        <v>0</v>
      </c>
      <c r="N78" s="17">
        <f>Test!D388</f>
        <v>0</v>
      </c>
      <c r="O78" s="17">
        <f>Test!E388</f>
        <v>0</v>
      </c>
      <c r="P78" s="17">
        <f>Test!F388</f>
        <v>0</v>
      </c>
      <c r="Q78" s="17">
        <f>Test!G388</f>
        <v>0</v>
      </c>
      <c r="R78" s="18">
        <f t="shared" si="5"/>
        <v>0</v>
      </c>
      <c r="S78" s="17" t="e">
        <f t="shared" si="6"/>
        <v>#DIV/0!</v>
      </c>
      <c r="T78" s="17" t="e">
        <f t="shared" si="7"/>
        <v>#DIV/0!</v>
      </c>
      <c r="U78" s="49"/>
      <c r="V78" s="32"/>
      <c r="W78" s="44"/>
      <c r="X78" s="44"/>
      <c r="Y78" s="32"/>
      <c r="Z78" s="44"/>
      <c r="AA78" s="45"/>
    </row>
    <row r="79" spans="1:27" x14ac:dyDescent="0.2">
      <c r="A79" s="24" t="s">
        <v>74</v>
      </c>
      <c r="B79" s="24" t="s">
        <v>52</v>
      </c>
      <c r="C79" s="24">
        <v>22</v>
      </c>
      <c r="D79" s="9">
        <f>Reference!B389</f>
        <v>0</v>
      </c>
      <c r="E79" s="10">
        <f>Reference!C389</f>
        <v>0</v>
      </c>
      <c r="F79" s="10">
        <f>Reference!D389</f>
        <v>0</v>
      </c>
      <c r="G79" s="10">
        <f>Reference!E389</f>
        <v>0</v>
      </c>
      <c r="H79" s="10">
        <f>Reference!F389</f>
        <v>0</v>
      </c>
      <c r="I79" s="10">
        <f>Reference!G389</f>
        <v>0</v>
      </c>
      <c r="J79" s="11">
        <f t="shared" si="4"/>
        <v>0</v>
      </c>
      <c r="L79" s="9">
        <f>Test!B389</f>
        <v>0</v>
      </c>
      <c r="M79" s="10">
        <f>Test!C389</f>
        <v>0</v>
      </c>
      <c r="N79" s="10">
        <f>Test!D389</f>
        <v>0</v>
      </c>
      <c r="O79" s="10">
        <f>Test!E389</f>
        <v>0</v>
      </c>
      <c r="P79" s="10">
        <f>Test!F389</f>
        <v>0</v>
      </c>
      <c r="Q79" s="10">
        <f>Test!G389</f>
        <v>0</v>
      </c>
      <c r="R79" s="11">
        <f t="shared" si="5"/>
        <v>0</v>
      </c>
      <c r="S79" s="10" t="e">
        <f t="shared" si="6"/>
        <v>#DIV/0!</v>
      </c>
      <c r="T79" s="10" t="e">
        <f t="shared" si="7"/>
        <v>#DIV/0!</v>
      </c>
      <c r="U79" s="47"/>
      <c r="V79" s="30" t="e">
        <f>bdrate($D79:$D82,E79:E82,$L79:$L82,M79:M82)</f>
        <v>#VALUE!</v>
      </c>
      <c r="W79" s="35" t="e">
        <f>bdrate($D79:$D82,F79:F82,$L79:$L82,N79:N82)</f>
        <v>#VALUE!</v>
      </c>
      <c r="X79" s="36" t="e">
        <f>bdrate($D79:$D82,G79:G82,$L79:$L82,O79:O82)</f>
        <v>#VALUE!</v>
      </c>
      <c r="Y79" s="30" t="e">
        <f>bdrateOld($D79:$D82,E79:E82,$L79:$L82,M79:M82)</f>
        <v>#VALUE!</v>
      </c>
      <c r="Z79" s="35" t="e">
        <f>bdrateOld($D79:$D82,F79:F82,$L79:$L82,N79:N82)</f>
        <v>#VALUE!</v>
      </c>
      <c r="AA79" s="36" t="e">
        <f>bdrateOld($D79:$D82,G79:G82,$L79:$L82,O79:O82)</f>
        <v>#VALUE!</v>
      </c>
    </row>
    <row r="80" spans="1:27" x14ac:dyDescent="0.2">
      <c r="A80" s="25" t="s">
        <v>75</v>
      </c>
      <c r="B80" s="25"/>
      <c r="C80" s="25">
        <v>27</v>
      </c>
      <c r="D80" s="12">
        <f>Reference!B390</f>
        <v>0</v>
      </c>
      <c r="E80" s="13">
        <f>Reference!C390</f>
        <v>0</v>
      </c>
      <c r="F80" s="13">
        <f>Reference!D390</f>
        <v>0</v>
      </c>
      <c r="G80" s="13">
        <f>Reference!E390</f>
        <v>0</v>
      </c>
      <c r="H80" s="13">
        <f>Reference!F390</f>
        <v>0</v>
      </c>
      <c r="I80" s="13">
        <f>Reference!G390</f>
        <v>0</v>
      </c>
      <c r="J80" s="14">
        <f t="shared" si="4"/>
        <v>0</v>
      </c>
      <c r="L80" s="12">
        <f>Test!B390</f>
        <v>0</v>
      </c>
      <c r="M80" s="13">
        <f>Test!C390</f>
        <v>0</v>
      </c>
      <c r="N80" s="13">
        <f>Test!D390</f>
        <v>0</v>
      </c>
      <c r="O80" s="13">
        <f>Test!E390</f>
        <v>0</v>
      </c>
      <c r="P80" s="13">
        <f>Test!F390</f>
        <v>0</v>
      </c>
      <c r="Q80" s="13">
        <f>Test!G390</f>
        <v>0</v>
      </c>
      <c r="R80" s="14">
        <f t="shared" si="5"/>
        <v>0</v>
      </c>
      <c r="S80" s="13" t="e">
        <f t="shared" si="6"/>
        <v>#DIV/0!</v>
      </c>
      <c r="T80" s="13" t="e">
        <f t="shared" si="7"/>
        <v>#DIV/0!</v>
      </c>
      <c r="U80" s="48"/>
      <c r="V80" s="31"/>
      <c r="W80" s="29"/>
      <c r="X80" s="43"/>
      <c r="Y80" s="31"/>
      <c r="Z80" s="29"/>
      <c r="AA80" s="43"/>
    </row>
    <row r="81" spans="1:27" x14ac:dyDescent="0.2">
      <c r="A81" s="25"/>
      <c r="B81" s="25"/>
      <c r="C81" s="25">
        <v>32</v>
      </c>
      <c r="D81" s="12">
        <f>Reference!B391</f>
        <v>0</v>
      </c>
      <c r="E81" s="13">
        <f>Reference!C391</f>
        <v>0</v>
      </c>
      <c r="F81" s="13">
        <f>Reference!D391</f>
        <v>0</v>
      </c>
      <c r="G81" s="13">
        <f>Reference!E391</f>
        <v>0</v>
      </c>
      <c r="H81" s="13">
        <f>Reference!F391</f>
        <v>0</v>
      </c>
      <c r="I81" s="13">
        <f>Reference!G391</f>
        <v>0</v>
      </c>
      <c r="J81" s="14">
        <f t="shared" si="4"/>
        <v>0</v>
      </c>
      <c r="L81" s="12">
        <f>Test!B391</f>
        <v>0</v>
      </c>
      <c r="M81" s="13">
        <f>Test!C391</f>
        <v>0</v>
      </c>
      <c r="N81" s="13">
        <f>Test!D391</f>
        <v>0</v>
      </c>
      <c r="O81" s="13">
        <f>Test!E391</f>
        <v>0</v>
      </c>
      <c r="P81" s="13">
        <f>Test!F391</f>
        <v>0</v>
      </c>
      <c r="Q81" s="13">
        <f>Test!G391</f>
        <v>0</v>
      </c>
      <c r="R81" s="14">
        <f t="shared" si="5"/>
        <v>0</v>
      </c>
      <c r="S81" s="13" t="e">
        <f t="shared" si="6"/>
        <v>#DIV/0!</v>
      </c>
      <c r="T81" s="13" t="e">
        <f t="shared" si="7"/>
        <v>#DIV/0!</v>
      </c>
      <c r="U81" s="48"/>
      <c r="V81" s="31"/>
      <c r="W81" s="29"/>
      <c r="X81" s="43"/>
      <c r="Y81" s="31"/>
      <c r="Z81" s="29"/>
      <c r="AA81" s="43"/>
    </row>
    <row r="82" spans="1:27" ht="12.75" customHeight="1" thickBot="1" x14ac:dyDescent="0.25">
      <c r="A82" s="25"/>
      <c r="B82" s="26"/>
      <c r="C82" s="26">
        <v>37</v>
      </c>
      <c r="D82" s="16">
        <f>Reference!B392</f>
        <v>0</v>
      </c>
      <c r="E82" s="17">
        <f>Reference!C392</f>
        <v>0</v>
      </c>
      <c r="F82" s="17">
        <f>Reference!D392</f>
        <v>0</v>
      </c>
      <c r="G82" s="17">
        <f>Reference!E392</f>
        <v>0</v>
      </c>
      <c r="H82" s="17">
        <f>Reference!F392</f>
        <v>0</v>
      </c>
      <c r="I82" s="17">
        <f>Reference!G392</f>
        <v>0</v>
      </c>
      <c r="J82" s="18">
        <f t="shared" si="4"/>
        <v>0</v>
      </c>
      <c r="L82" s="16">
        <f>Test!B392</f>
        <v>0</v>
      </c>
      <c r="M82" s="17">
        <f>Test!C392</f>
        <v>0</v>
      </c>
      <c r="N82" s="17">
        <f>Test!D392</f>
        <v>0</v>
      </c>
      <c r="O82" s="17">
        <f>Test!E392</f>
        <v>0</v>
      </c>
      <c r="P82" s="17">
        <f>Test!F392</f>
        <v>0</v>
      </c>
      <c r="Q82" s="17">
        <f>Test!G392</f>
        <v>0</v>
      </c>
      <c r="R82" s="18">
        <f t="shared" si="5"/>
        <v>0</v>
      </c>
      <c r="S82" s="13" t="e">
        <f t="shared" si="6"/>
        <v>#DIV/0!</v>
      </c>
      <c r="T82" s="13" t="e">
        <f t="shared" si="7"/>
        <v>#DIV/0!</v>
      </c>
      <c r="U82" s="48"/>
      <c r="V82" s="32"/>
      <c r="W82" s="44"/>
      <c r="X82" s="45"/>
      <c r="Y82" s="32"/>
      <c r="Z82" s="44"/>
      <c r="AA82" s="45"/>
    </row>
    <row r="83" spans="1:27" x14ac:dyDescent="0.2">
      <c r="A83" s="25"/>
      <c r="B83" s="24" t="s">
        <v>53</v>
      </c>
      <c r="C83" s="24">
        <v>22</v>
      </c>
      <c r="D83" s="9">
        <f>Reference!B393</f>
        <v>0</v>
      </c>
      <c r="E83" s="10">
        <f>Reference!C393</f>
        <v>0</v>
      </c>
      <c r="F83" s="10">
        <f>Reference!D393</f>
        <v>0</v>
      </c>
      <c r="G83" s="10">
        <f>Reference!E393</f>
        <v>0</v>
      </c>
      <c r="H83" s="10">
        <f>Reference!F393</f>
        <v>0</v>
      </c>
      <c r="I83" s="10">
        <f>Reference!G393</f>
        <v>0</v>
      </c>
      <c r="J83" s="11">
        <f t="shared" si="4"/>
        <v>0</v>
      </c>
      <c r="L83" s="9">
        <f>Test!B393</f>
        <v>0</v>
      </c>
      <c r="M83" s="10">
        <f>Test!C393</f>
        <v>0</v>
      </c>
      <c r="N83" s="10">
        <f>Test!D393</f>
        <v>0</v>
      </c>
      <c r="O83" s="10">
        <f>Test!E393</f>
        <v>0</v>
      </c>
      <c r="P83" s="10">
        <f>Test!F393</f>
        <v>0</v>
      </c>
      <c r="Q83" s="10">
        <f>Test!G393</f>
        <v>0</v>
      </c>
      <c r="R83" s="11">
        <f t="shared" si="5"/>
        <v>0</v>
      </c>
      <c r="S83" s="13" t="e">
        <f t="shared" si="6"/>
        <v>#DIV/0!</v>
      </c>
      <c r="T83" s="13" t="e">
        <f t="shared" si="7"/>
        <v>#DIV/0!</v>
      </c>
      <c r="U83" s="48"/>
      <c r="V83" s="30" t="e">
        <f>bdrate($D83:$D86,E83:E86,$L83:$L86,M83:M86)</f>
        <v>#VALUE!</v>
      </c>
      <c r="W83" s="35" t="e">
        <f>bdrate($D83:$D86,F83:F86,$L83:$L86,N83:N86)</f>
        <v>#VALUE!</v>
      </c>
      <c r="X83" s="35" t="e">
        <f>bdrate($D83:$D86,G83:G86,$L83:$L86,O83:O86)</f>
        <v>#VALUE!</v>
      </c>
      <c r="Y83" s="33" t="e">
        <f>bdrateOld($D83:$D86,E83:E86,$L83:$L86,M83:M86)</f>
        <v>#VALUE!</v>
      </c>
      <c r="Z83" s="37" t="e">
        <f>bdrateOld($D83:$D86,F83:F86,$L83:$L86,N83:N86)</f>
        <v>#VALUE!</v>
      </c>
      <c r="AA83" s="38" t="e">
        <f>bdrateOld($D83:$D86,G83:G86,$L83:$L86,O83:O86)</f>
        <v>#VALUE!</v>
      </c>
    </row>
    <row r="84" spans="1:27" x14ac:dyDescent="0.2">
      <c r="A84" s="25"/>
      <c r="B84" s="25"/>
      <c r="C84" s="25">
        <v>27</v>
      </c>
      <c r="D84" s="12">
        <f>Reference!B394</f>
        <v>0</v>
      </c>
      <c r="E84" s="13">
        <f>Reference!C394</f>
        <v>0</v>
      </c>
      <c r="F84" s="13">
        <f>Reference!D394</f>
        <v>0</v>
      </c>
      <c r="G84" s="13">
        <f>Reference!E394</f>
        <v>0</v>
      </c>
      <c r="H84" s="13">
        <f>Reference!F394</f>
        <v>0</v>
      </c>
      <c r="I84" s="13">
        <f>Reference!G394</f>
        <v>0</v>
      </c>
      <c r="J84" s="14">
        <f t="shared" si="4"/>
        <v>0</v>
      </c>
      <c r="L84" s="12">
        <f>Test!B394</f>
        <v>0</v>
      </c>
      <c r="M84" s="13">
        <f>Test!C394</f>
        <v>0</v>
      </c>
      <c r="N84" s="13">
        <f>Test!D394</f>
        <v>0</v>
      </c>
      <c r="O84" s="13">
        <f>Test!E394</f>
        <v>0</v>
      </c>
      <c r="P84" s="13">
        <f>Test!F394</f>
        <v>0</v>
      </c>
      <c r="Q84" s="13">
        <f>Test!G394</f>
        <v>0</v>
      </c>
      <c r="R84" s="14">
        <f t="shared" si="5"/>
        <v>0</v>
      </c>
      <c r="S84" s="13" t="e">
        <f t="shared" si="6"/>
        <v>#DIV/0!</v>
      </c>
      <c r="T84" s="13" t="e">
        <f t="shared" si="7"/>
        <v>#DIV/0!</v>
      </c>
      <c r="U84" s="48"/>
      <c r="V84" s="31"/>
      <c r="W84" s="29"/>
      <c r="X84" s="29"/>
      <c r="Y84" s="31"/>
      <c r="Z84" s="29"/>
      <c r="AA84" s="43"/>
    </row>
    <row r="85" spans="1:27" x14ac:dyDescent="0.2">
      <c r="A85" s="25"/>
      <c r="B85" s="25"/>
      <c r="C85" s="25">
        <v>32</v>
      </c>
      <c r="D85" s="12">
        <f>Reference!B395</f>
        <v>0</v>
      </c>
      <c r="E85" s="13">
        <f>Reference!C395</f>
        <v>0</v>
      </c>
      <c r="F85" s="13">
        <f>Reference!D395</f>
        <v>0</v>
      </c>
      <c r="G85" s="13">
        <f>Reference!E395</f>
        <v>0</v>
      </c>
      <c r="H85" s="13">
        <f>Reference!F395</f>
        <v>0</v>
      </c>
      <c r="I85" s="13">
        <f>Reference!G395</f>
        <v>0</v>
      </c>
      <c r="J85" s="14">
        <f t="shared" si="4"/>
        <v>0</v>
      </c>
      <c r="L85" s="12">
        <f>Test!B395</f>
        <v>0</v>
      </c>
      <c r="M85" s="13">
        <f>Test!C395</f>
        <v>0</v>
      </c>
      <c r="N85" s="13">
        <f>Test!D395</f>
        <v>0</v>
      </c>
      <c r="O85" s="13">
        <f>Test!E395</f>
        <v>0</v>
      </c>
      <c r="P85" s="13">
        <f>Test!F395</f>
        <v>0</v>
      </c>
      <c r="Q85" s="13">
        <f>Test!G395</f>
        <v>0</v>
      </c>
      <c r="R85" s="14">
        <f t="shared" si="5"/>
        <v>0</v>
      </c>
      <c r="S85" s="13" t="e">
        <f t="shared" si="6"/>
        <v>#DIV/0!</v>
      </c>
      <c r="T85" s="13" t="e">
        <f t="shared" si="7"/>
        <v>#DIV/0!</v>
      </c>
      <c r="U85" s="48"/>
      <c r="V85" s="31"/>
      <c r="W85" s="29"/>
      <c r="X85" s="29"/>
      <c r="Y85" s="31"/>
      <c r="Z85" s="29"/>
      <c r="AA85" s="43"/>
    </row>
    <row r="86" spans="1:27" ht="12.75" customHeight="1" thickBot="1" x14ac:dyDescent="0.25">
      <c r="A86" s="25"/>
      <c r="B86" s="26"/>
      <c r="C86" s="26">
        <v>37</v>
      </c>
      <c r="D86" s="16">
        <f>Reference!B396</f>
        <v>0</v>
      </c>
      <c r="E86" s="17">
        <f>Reference!C396</f>
        <v>0</v>
      </c>
      <c r="F86" s="17">
        <f>Reference!D396</f>
        <v>0</v>
      </c>
      <c r="G86" s="17">
        <f>Reference!E396</f>
        <v>0</v>
      </c>
      <c r="H86" s="17">
        <f>Reference!F396</f>
        <v>0</v>
      </c>
      <c r="I86" s="17">
        <f>Reference!G396</f>
        <v>0</v>
      </c>
      <c r="J86" s="18">
        <f t="shared" si="4"/>
        <v>0</v>
      </c>
      <c r="L86" s="16">
        <f>Test!B396</f>
        <v>0</v>
      </c>
      <c r="M86" s="17">
        <f>Test!C396</f>
        <v>0</v>
      </c>
      <c r="N86" s="17">
        <f>Test!D396</f>
        <v>0</v>
      </c>
      <c r="O86" s="17">
        <f>Test!E396</f>
        <v>0</v>
      </c>
      <c r="P86" s="17">
        <f>Test!F396</f>
        <v>0</v>
      </c>
      <c r="Q86" s="17">
        <f>Test!G396</f>
        <v>0</v>
      </c>
      <c r="R86" s="18">
        <f t="shared" si="5"/>
        <v>0</v>
      </c>
      <c r="S86" s="13" t="e">
        <f t="shared" si="6"/>
        <v>#DIV/0!</v>
      </c>
      <c r="T86" s="13" t="e">
        <f t="shared" si="7"/>
        <v>#DIV/0!</v>
      </c>
      <c r="U86" s="48"/>
      <c r="V86" s="32"/>
      <c r="W86" s="44"/>
      <c r="X86" s="44"/>
      <c r="Y86" s="32"/>
      <c r="Z86" s="44"/>
      <c r="AA86" s="45"/>
    </row>
    <row r="87" spans="1:27" x14ac:dyDescent="0.2">
      <c r="A87" s="25"/>
      <c r="B87" s="24" t="s">
        <v>54</v>
      </c>
      <c r="C87" s="24">
        <v>22</v>
      </c>
      <c r="D87" s="9">
        <f>Reference!B397</f>
        <v>0</v>
      </c>
      <c r="E87" s="10">
        <f>Reference!C397</f>
        <v>0</v>
      </c>
      <c r="F87" s="10">
        <f>Reference!D397</f>
        <v>0</v>
      </c>
      <c r="G87" s="10">
        <f>Reference!E397</f>
        <v>0</v>
      </c>
      <c r="H87" s="10">
        <f>Reference!F397</f>
        <v>0</v>
      </c>
      <c r="I87" s="10">
        <f>Reference!G397</f>
        <v>0</v>
      </c>
      <c r="J87" s="11">
        <f t="shared" si="4"/>
        <v>0</v>
      </c>
      <c r="L87" s="9">
        <f>Test!B397</f>
        <v>0</v>
      </c>
      <c r="M87" s="10">
        <f>Test!C397</f>
        <v>0</v>
      </c>
      <c r="N87" s="10">
        <f>Test!D397</f>
        <v>0</v>
      </c>
      <c r="O87" s="10">
        <f>Test!E397</f>
        <v>0</v>
      </c>
      <c r="P87" s="10">
        <f>Test!F397</f>
        <v>0</v>
      </c>
      <c r="Q87" s="10">
        <f>Test!G397</f>
        <v>0</v>
      </c>
      <c r="R87" s="11">
        <f t="shared" si="5"/>
        <v>0</v>
      </c>
      <c r="S87" s="13" t="e">
        <f t="shared" si="6"/>
        <v>#DIV/0!</v>
      </c>
      <c r="T87" s="13" t="e">
        <f t="shared" si="7"/>
        <v>#DIV/0!</v>
      </c>
      <c r="U87" s="48"/>
      <c r="V87" s="30" t="e">
        <f>bdrate($D87:$D90,E87:E90,$L87:$L90,M87:M90)</f>
        <v>#VALUE!</v>
      </c>
      <c r="W87" s="35" t="e">
        <f>bdrate($D87:$D90,F87:F90,$L87:$L90,N87:N90)</f>
        <v>#VALUE!</v>
      </c>
      <c r="X87" s="35" t="e">
        <f>bdrate($D87:$D90,G87:G90,$L87:$L90,O87:O90)</f>
        <v>#VALUE!</v>
      </c>
      <c r="Y87" s="33" t="e">
        <f>bdrateOld($D87:$D90,E87:E90,$L87:$L90,M87:M90)</f>
        <v>#VALUE!</v>
      </c>
      <c r="Z87" s="37" t="e">
        <f>bdrateOld($D87:$D90,F87:F90,$L87:$L90,N87:N90)</f>
        <v>#VALUE!</v>
      </c>
      <c r="AA87" s="38" t="e">
        <f>bdrateOld($D87:$D90,G87:G90,$L87:$L90,O87:O90)</f>
        <v>#VALUE!</v>
      </c>
    </row>
    <row r="88" spans="1:27" x14ac:dyDescent="0.2">
      <c r="A88" s="25"/>
      <c r="B88" s="25"/>
      <c r="C88" s="25">
        <v>27</v>
      </c>
      <c r="D88" s="12">
        <f>Reference!B398</f>
        <v>0</v>
      </c>
      <c r="E88" s="13">
        <f>Reference!C398</f>
        <v>0</v>
      </c>
      <c r="F88" s="13">
        <f>Reference!D398</f>
        <v>0</v>
      </c>
      <c r="G88" s="13">
        <f>Reference!E398</f>
        <v>0</v>
      </c>
      <c r="H88" s="13">
        <f>Reference!F398</f>
        <v>0</v>
      </c>
      <c r="I88" s="13">
        <f>Reference!G398</f>
        <v>0</v>
      </c>
      <c r="J88" s="14">
        <f t="shared" si="4"/>
        <v>0</v>
      </c>
      <c r="L88" s="12">
        <f>Test!B398</f>
        <v>0</v>
      </c>
      <c r="M88" s="13">
        <f>Test!C398</f>
        <v>0</v>
      </c>
      <c r="N88" s="13">
        <f>Test!D398</f>
        <v>0</v>
      </c>
      <c r="O88" s="13">
        <f>Test!E398</f>
        <v>0</v>
      </c>
      <c r="P88" s="13">
        <f>Test!F398</f>
        <v>0</v>
      </c>
      <c r="Q88" s="13">
        <f>Test!G398</f>
        <v>0</v>
      </c>
      <c r="R88" s="14">
        <f t="shared" si="5"/>
        <v>0</v>
      </c>
      <c r="S88" s="13" t="e">
        <f t="shared" si="6"/>
        <v>#DIV/0!</v>
      </c>
      <c r="T88" s="13" t="e">
        <f t="shared" si="7"/>
        <v>#DIV/0!</v>
      </c>
      <c r="U88" s="48"/>
      <c r="V88" s="31"/>
      <c r="W88" s="29"/>
      <c r="X88" s="29"/>
      <c r="Y88" s="31"/>
      <c r="Z88" s="29"/>
      <c r="AA88" s="43"/>
    </row>
    <row r="89" spans="1:27" x14ac:dyDescent="0.2">
      <c r="A89" s="25"/>
      <c r="B89" s="25"/>
      <c r="C89" s="25">
        <v>32</v>
      </c>
      <c r="D89" s="12">
        <f>Reference!B399</f>
        <v>0</v>
      </c>
      <c r="E89" s="13">
        <f>Reference!C399</f>
        <v>0</v>
      </c>
      <c r="F89" s="13">
        <f>Reference!D399</f>
        <v>0</v>
      </c>
      <c r="G89" s="13">
        <f>Reference!E399</f>
        <v>0</v>
      </c>
      <c r="H89" s="13">
        <f>Reference!F399</f>
        <v>0</v>
      </c>
      <c r="I89" s="13">
        <f>Reference!G399</f>
        <v>0</v>
      </c>
      <c r="J89" s="14">
        <f t="shared" si="4"/>
        <v>0</v>
      </c>
      <c r="L89" s="12">
        <f>Test!B399</f>
        <v>0</v>
      </c>
      <c r="M89" s="13">
        <f>Test!C399</f>
        <v>0</v>
      </c>
      <c r="N89" s="13">
        <f>Test!D399</f>
        <v>0</v>
      </c>
      <c r="O89" s="13">
        <f>Test!E399</f>
        <v>0</v>
      </c>
      <c r="P89" s="13">
        <f>Test!F399</f>
        <v>0</v>
      </c>
      <c r="Q89" s="13">
        <f>Test!G399</f>
        <v>0</v>
      </c>
      <c r="R89" s="14">
        <f t="shared" si="5"/>
        <v>0</v>
      </c>
      <c r="S89" s="13" t="e">
        <f t="shared" si="6"/>
        <v>#DIV/0!</v>
      </c>
      <c r="T89" s="13" t="e">
        <f t="shared" si="7"/>
        <v>#DIV/0!</v>
      </c>
      <c r="U89" s="48"/>
      <c r="V89" s="31"/>
      <c r="W89" s="29"/>
      <c r="X89" s="29"/>
      <c r="Y89" s="31"/>
      <c r="Z89" s="29"/>
      <c r="AA89" s="43"/>
    </row>
    <row r="90" spans="1:27" ht="12.75" customHeight="1" thickBot="1" x14ac:dyDescent="0.25">
      <c r="A90" s="26"/>
      <c r="B90" s="26"/>
      <c r="C90" s="26">
        <v>37</v>
      </c>
      <c r="D90" s="16">
        <f>Reference!B400</f>
        <v>0</v>
      </c>
      <c r="E90" s="17">
        <f>Reference!C400</f>
        <v>0</v>
      </c>
      <c r="F90" s="17">
        <f>Reference!D400</f>
        <v>0</v>
      </c>
      <c r="G90" s="17">
        <f>Reference!E400</f>
        <v>0</v>
      </c>
      <c r="H90" s="17">
        <f>Reference!F400</f>
        <v>0</v>
      </c>
      <c r="I90" s="17">
        <f>Reference!G400</f>
        <v>0</v>
      </c>
      <c r="J90" s="18">
        <f t="shared" si="4"/>
        <v>0</v>
      </c>
      <c r="L90" s="16">
        <f>Test!B400</f>
        <v>0</v>
      </c>
      <c r="M90" s="17">
        <f>Test!C400</f>
        <v>0</v>
      </c>
      <c r="N90" s="17">
        <f>Test!D400</f>
        <v>0</v>
      </c>
      <c r="O90" s="17">
        <f>Test!E400</f>
        <v>0</v>
      </c>
      <c r="P90" s="17">
        <f>Test!F400</f>
        <v>0</v>
      </c>
      <c r="Q90" s="17">
        <f>Test!G400</f>
        <v>0</v>
      </c>
      <c r="R90" s="18">
        <f t="shared" si="5"/>
        <v>0</v>
      </c>
      <c r="S90" s="13" t="e">
        <f t="shared" si="6"/>
        <v>#DIV/0!</v>
      </c>
      <c r="T90" s="13" t="e">
        <f t="shared" si="7"/>
        <v>#DIV/0!</v>
      </c>
      <c r="U90" s="48"/>
      <c r="V90" s="32"/>
      <c r="W90" s="44"/>
      <c r="X90" s="44"/>
      <c r="Y90" s="32"/>
      <c r="Z90" s="44"/>
      <c r="AA90" s="45"/>
    </row>
    <row r="91" spans="1:27" x14ac:dyDescent="0.2">
      <c r="A91" s="24" t="s">
        <v>76</v>
      </c>
      <c r="B91" s="24" t="s">
        <v>55</v>
      </c>
      <c r="C91" s="24">
        <v>22</v>
      </c>
      <c r="D91" s="9">
        <f>Reference!B401</f>
        <v>0</v>
      </c>
      <c r="E91" s="10">
        <f>Reference!C401</f>
        <v>0</v>
      </c>
      <c r="F91" s="10">
        <f>Reference!D401</f>
        <v>0</v>
      </c>
      <c r="G91" s="10">
        <f>Reference!E401</f>
        <v>0</v>
      </c>
      <c r="H91" s="10">
        <f>Reference!F401</f>
        <v>0</v>
      </c>
      <c r="I91" s="10">
        <f>Reference!G401</f>
        <v>0</v>
      </c>
      <c r="J91" s="11">
        <f t="shared" ref="J91:J106" si="8">H91/3600</f>
        <v>0</v>
      </c>
      <c r="L91" s="9">
        <f>Test!B401</f>
        <v>0</v>
      </c>
      <c r="M91" s="10">
        <f>Test!C401</f>
        <v>0</v>
      </c>
      <c r="N91" s="10">
        <f>Test!D401</f>
        <v>0</v>
      </c>
      <c r="O91" s="10">
        <f>Test!E401</f>
        <v>0</v>
      </c>
      <c r="P91" s="10">
        <f>Test!F401</f>
        <v>0</v>
      </c>
      <c r="Q91" s="10">
        <f>Test!G401</f>
        <v>0</v>
      </c>
      <c r="R91" s="11">
        <f t="shared" ref="R91:R106" si="9">P91/3600</f>
        <v>0</v>
      </c>
      <c r="S91" s="10" t="e">
        <f t="shared" ref="S91:S106" si="10">P91/H91</f>
        <v>#DIV/0!</v>
      </c>
      <c r="T91" s="10" t="e">
        <f t="shared" ref="T91:T106" si="11">Q91/I91</f>
        <v>#DIV/0!</v>
      </c>
      <c r="U91" s="47"/>
      <c r="V91" s="30" t="e">
        <f>bdrate($D91:$D94,E91:E94,$L91:$L94,M91:M94)</f>
        <v>#VALUE!</v>
      </c>
      <c r="W91" s="35" t="e">
        <f>bdrate($D91:$D94,F91:F94,$L91:$L94,N91:N94)</f>
        <v>#VALUE!</v>
      </c>
      <c r="X91" s="36" t="e">
        <f>bdrate($D91:$D94,G91:G94,$L91:$L94,O91:O94)</f>
        <v>#VALUE!</v>
      </c>
      <c r="Y91" s="30" t="e">
        <f>bdrateOld($D91:$D94,E91:E94,$L91:$L94,M91:M94)</f>
        <v>#VALUE!</v>
      </c>
      <c r="Z91" s="35" t="e">
        <f>bdrateOld($D91:$D94,F91:F94,$L91:$L94,N91:N94)</f>
        <v>#VALUE!</v>
      </c>
      <c r="AA91" s="36" t="e">
        <f>bdrateOld($D91:$D94,G91:G94,$L91:$L94,O91:O94)</f>
        <v>#VALUE!</v>
      </c>
    </row>
    <row r="92" spans="1:27" x14ac:dyDescent="0.2">
      <c r="A92" s="25"/>
      <c r="B92" s="25"/>
      <c r="C92" s="25">
        <v>27</v>
      </c>
      <c r="D92" s="12">
        <f>Reference!B402</f>
        <v>0</v>
      </c>
      <c r="E92" s="13">
        <f>Reference!C402</f>
        <v>0</v>
      </c>
      <c r="F92" s="13">
        <f>Reference!D402</f>
        <v>0</v>
      </c>
      <c r="G92" s="13">
        <f>Reference!E402</f>
        <v>0</v>
      </c>
      <c r="H92" s="13">
        <f>Reference!F402</f>
        <v>0</v>
      </c>
      <c r="I92" s="13">
        <f>Reference!G402</f>
        <v>0</v>
      </c>
      <c r="J92" s="14">
        <f t="shared" si="8"/>
        <v>0</v>
      </c>
      <c r="L92" s="12">
        <f>Test!B402</f>
        <v>0</v>
      </c>
      <c r="M92" s="13">
        <f>Test!C402</f>
        <v>0</v>
      </c>
      <c r="N92" s="13">
        <f>Test!D402</f>
        <v>0</v>
      </c>
      <c r="O92" s="13">
        <f>Test!E402</f>
        <v>0</v>
      </c>
      <c r="P92" s="13">
        <f>Test!F402</f>
        <v>0</v>
      </c>
      <c r="Q92" s="13">
        <f>Test!G402</f>
        <v>0</v>
      </c>
      <c r="R92" s="14">
        <f t="shared" si="9"/>
        <v>0</v>
      </c>
      <c r="S92" s="13" t="e">
        <f t="shared" si="10"/>
        <v>#DIV/0!</v>
      </c>
      <c r="T92" s="13" t="e">
        <f t="shared" si="11"/>
        <v>#DIV/0!</v>
      </c>
      <c r="U92" s="48"/>
      <c r="V92" s="31"/>
      <c r="W92" s="29"/>
      <c r="X92" s="43"/>
      <c r="Y92" s="31"/>
      <c r="Z92" s="29"/>
      <c r="AA92" s="43"/>
    </row>
    <row r="93" spans="1:27" x14ac:dyDescent="0.2">
      <c r="A93" s="25"/>
      <c r="B93" s="25"/>
      <c r="C93" s="25">
        <v>32</v>
      </c>
      <c r="D93" s="12">
        <f>Reference!B403</f>
        <v>0</v>
      </c>
      <c r="E93" s="13">
        <f>Reference!C403</f>
        <v>0</v>
      </c>
      <c r="F93" s="13">
        <f>Reference!D403</f>
        <v>0</v>
      </c>
      <c r="G93" s="13">
        <f>Reference!E403</f>
        <v>0</v>
      </c>
      <c r="H93" s="13">
        <f>Reference!F403</f>
        <v>0</v>
      </c>
      <c r="I93" s="13">
        <f>Reference!G403</f>
        <v>0</v>
      </c>
      <c r="J93" s="14">
        <f t="shared" si="8"/>
        <v>0</v>
      </c>
      <c r="L93" s="12">
        <f>Test!B403</f>
        <v>0</v>
      </c>
      <c r="M93" s="13">
        <f>Test!C403</f>
        <v>0</v>
      </c>
      <c r="N93" s="13">
        <f>Test!D403</f>
        <v>0</v>
      </c>
      <c r="O93" s="13">
        <f>Test!E403</f>
        <v>0</v>
      </c>
      <c r="P93" s="13">
        <f>Test!F403</f>
        <v>0</v>
      </c>
      <c r="Q93" s="13">
        <f>Test!G403</f>
        <v>0</v>
      </c>
      <c r="R93" s="14">
        <f t="shared" si="9"/>
        <v>0</v>
      </c>
      <c r="S93" s="13" t="e">
        <f t="shared" si="10"/>
        <v>#DIV/0!</v>
      </c>
      <c r="T93" s="13" t="e">
        <f t="shared" si="11"/>
        <v>#DIV/0!</v>
      </c>
      <c r="U93" s="48"/>
      <c r="V93" s="31"/>
      <c r="W93" s="29"/>
      <c r="X93" s="43"/>
      <c r="Y93" s="31"/>
      <c r="Z93" s="29"/>
      <c r="AA93" s="43"/>
    </row>
    <row r="94" spans="1:27" ht="12.75" customHeight="1" thickBot="1" x14ac:dyDescent="0.25">
      <c r="A94" s="25"/>
      <c r="B94" s="26"/>
      <c r="C94" s="26">
        <v>37</v>
      </c>
      <c r="D94" s="16">
        <f>Reference!B404</f>
        <v>0</v>
      </c>
      <c r="E94" s="17">
        <f>Reference!C404</f>
        <v>0</v>
      </c>
      <c r="F94" s="17">
        <f>Reference!D404</f>
        <v>0</v>
      </c>
      <c r="G94" s="17">
        <f>Reference!E404</f>
        <v>0</v>
      </c>
      <c r="H94" s="17">
        <f>Reference!F404</f>
        <v>0</v>
      </c>
      <c r="I94" s="17">
        <f>Reference!G404</f>
        <v>0</v>
      </c>
      <c r="J94" s="18">
        <f t="shared" si="8"/>
        <v>0</v>
      </c>
      <c r="L94" s="16">
        <f>Test!B404</f>
        <v>0</v>
      </c>
      <c r="M94" s="17">
        <f>Test!C404</f>
        <v>0</v>
      </c>
      <c r="N94" s="17">
        <f>Test!D404</f>
        <v>0</v>
      </c>
      <c r="O94" s="17">
        <f>Test!E404</f>
        <v>0</v>
      </c>
      <c r="P94" s="17">
        <f>Test!F404</f>
        <v>0</v>
      </c>
      <c r="Q94" s="17">
        <f>Test!G404</f>
        <v>0</v>
      </c>
      <c r="R94" s="18">
        <f t="shared" si="9"/>
        <v>0</v>
      </c>
      <c r="S94" s="13" t="e">
        <f t="shared" si="10"/>
        <v>#DIV/0!</v>
      </c>
      <c r="T94" s="13" t="e">
        <f t="shared" si="11"/>
        <v>#DIV/0!</v>
      </c>
      <c r="U94" s="48"/>
      <c r="V94" s="32"/>
      <c r="W94" s="44"/>
      <c r="X94" s="45"/>
      <c r="Y94" s="32"/>
      <c r="Z94" s="44"/>
      <c r="AA94" s="45"/>
    </row>
    <row r="95" spans="1:27" x14ac:dyDescent="0.2">
      <c r="A95" s="25"/>
      <c r="B95" s="24" t="s">
        <v>56</v>
      </c>
      <c r="C95" s="24">
        <v>22</v>
      </c>
      <c r="D95" s="9">
        <f>Reference!B405</f>
        <v>0</v>
      </c>
      <c r="E95" s="10">
        <f>Reference!C405</f>
        <v>0</v>
      </c>
      <c r="F95" s="10">
        <f>Reference!D405</f>
        <v>0</v>
      </c>
      <c r="G95" s="10">
        <f>Reference!E405</f>
        <v>0</v>
      </c>
      <c r="H95" s="10">
        <f>Reference!F405</f>
        <v>0</v>
      </c>
      <c r="I95" s="10">
        <f>Reference!G405</f>
        <v>0</v>
      </c>
      <c r="J95" s="11">
        <f t="shared" si="8"/>
        <v>0</v>
      </c>
      <c r="L95" s="9">
        <f>Test!B405</f>
        <v>0</v>
      </c>
      <c r="M95" s="10">
        <f>Test!C405</f>
        <v>0</v>
      </c>
      <c r="N95" s="10">
        <f>Test!D405</f>
        <v>0</v>
      </c>
      <c r="O95" s="10">
        <f>Test!E405</f>
        <v>0</v>
      </c>
      <c r="P95" s="10">
        <f>Test!F405</f>
        <v>0</v>
      </c>
      <c r="Q95" s="10">
        <f>Test!G405</f>
        <v>0</v>
      </c>
      <c r="R95" s="11">
        <f t="shared" si="9"/>
        <v>0</v>
      </c>
      <c r="S95" s="13" t="e">
        <f t="shared" si="10"/>
        <v>#DIV/0!</v>
      </c>
      <c r="T95" s="13" t="e">
        <f t="shared" si="11"/>
        <v>#DIV/0!</v>
      </c>
      <c r="U95" s="48"/>
      <c r="V95" s="30" t="e">
        <f>bdrate($D95:$D98,E95:E98,$L95:$L98,M95:M98)</f>
        <v>#VALUE!</v>
      </c>
      <c r="W95" s="35" t="e">
        <f>bdrate($D95:$D98,F95:F98,$L95:$L98,N95:N98)</f>
        <v>#VALUE!</v>
      </c>
      <c r="X95" s="35" t="e">
        <f>bdrate($D95:$D98,G95:G98,$L95:$L98,O95:O98)</f>
        <v>#VALUE!</v>
      </c>
      <c r="Y95" s="33" t="e">
        <f>bdrateOld($D95:$D98,E95:E98,$L95:$L98,M95:M98)</f>
        <v>#VALUE!</v>
      </c>
      <c r="Z95" s="37" t="e">
        <f>bdrateOld($D95:$D98,F95:F98,$L95:$L98,N95:N98)</f>
        <v>#VALUE!</v>
      </c>
      <c r="AA95" s="38" t="e">
        <f>bdrateOld($D95:$D98,G95:G98,$L95:$L98,O95:O98)</f>
        <v>#VALUE!</v>
      </c>
    </row>
    <row r="96" spans="1:27" x14ac:dyDescent="0.2">
      <c r="A96" s="25"/>
      <c r="B96" s="25"/>
      <c r="C96" s="25">
        <v>27</v>
      </c>
      <c r="D96" s="12">
        <f>Reference!B406</f>
        <v>0</v>
      </c>
      <c r="E96" s="13">
        <f>Reference!C406</f>
        <v>0</v>
      </c>
      <c r="F96" s="13">
        <f>Reference!D406</f>
        <v>0</v>
      </c>
      <c r="G96" s="13">
        <f>Reference!E406</f>
        <v>0</v>
      </c>
      <c r="H96" s="13">
        <f>Reference!F406</f>
        <v>0</v>
      </c>
      <c r="I96" s="13">
        <f>Reference!G406</f>
        <v>0</v>
      </c>
      <c r="J96" s="14">
        <f t="shared" si="8"/>
        <v>0</v>
      </c>
      <c r="L96" s="12">
        <f>Test!B406</f>
        <v>0</v>
      </c>
      <c r="M96" s="13">
        <f>Test!C406</f>
        <v>0</v>
      </c>
      <c r="N96" s="13">
        <f>Test!D406</f>
        <v>0</v>
      </c>
      <c r="O96" s="13">
        <f>Test!E406</f>
        <v>0</v>
      </c>
      <c r="P96" s="13">
        <f>Test!F406</f>
        <v>0</v>
      </c>
      <c r="Q96" s="13">
        <f>Test!G406</f>
        <v>0</v>
      </c>
      <c r="R96" s="14">
        <f t="shared" si="9"/>
        <v>0</v>
      </c>
      <c r="S96" s="13" t="e">
        <f t="shared" si="10"/>
        <v>#DIV/0!</v>
      </c>
      <c r="T96" s="13" t="e">
        <f t="shared" si="11"/>
        <v>#DIV/0!</v>
      </c>
      <c r="U96" s="48"/>
      <c r="V96" s="31"/>
      <c r="W96" s="29"/>
      <c r="X96" s="29"/>
      <c r="Y96" s="31"/>
      <c r="Z96" s="29"/>
      <c r="AA96" s="43"/>
    </row>
    <row r="97" spans="1:27" x14ac:dyDescent="0.2">
      <c r="A97" s="25"/>
      <c r="B97" s="25"/>
      <c r="C97" s="25">
        <v>32</v>
      </c>
      <c r="D97" s="12">
        <f>Reference!B407</f>
        <v>0</v>
      </c>
      <c r="E97" s="13">
        <f>Reference!C407</f>
        <v>0</v>
      </c>
      <c r="F97" s="13">
        <f>Reference!D407</f>
        <v>0</v>
      </c>
      <c r="G97" s="13">
        <f>Reference!E407</f>
        <v>0</v>
      </c>
      <c r="H97" s="13">
        <f>Reference!F407</f>
        <v>0</v>
      </c>
      <c r="I97" s="13">
        <f>Reference!G407</f>
        <v>0</v>
      </c>
      <c r="J97" s="14">
        <f t="shared" si="8"/>
        <v>0</v>
      </c>
      <c r="L97" s="12">
        <f>Test!B407</f>
        <v>0</v>
      </c>
      <c r="M97" s="13">
        <f>Test!C407</f>
        <v>0</v>
      </c>
      <c r="N97" s="13">
        <f>Test!D407</f>
        <v>0</v>
      </c>
      <c r="O97" s="13">
        <f>Test!E407</f>
        <v>0</v>
      </c>
      <c r="P97" s="13">
        <f>Test!F407</f>
        <v>0</v>
      </c>
      <c r="Q97" s="13">
        <f>Test!G407</f>
        <v>0</v>
      </c>
      <c r="R97" s="14">
        <f t="shared" si="9"/>
        <v>0</v>
      </c>
      <c r="S97" s="13" t="e">
        <f t="shared" si="10"/>
        <v>#DIV/0!</v>
      </c>
      <c r="T97" s="13" t="e">
        <f t="shared" si="11"/>
        <v>#DIV/0!</v>
      </c>
      <c r="U97" s="48"/>
      <c r="V97" s="31"/>
      <c r="W97" s="29"/>
      <c r="X97" s="29"/>
      <c r="Y97" s="31"/>
      <c r="Z97" s="29"/>
      <c r="AA97" s="43"/>
    </row>
    <row r="98" spans="1:27" ht="12.75" customHeight="1" thickBot="1" x14ac:dyDescent="0.25">
      <c r="A98" s="25"/>
      <c r="B98" s="26"/>
      <c r="C98" s="26">
        <v>37</v>
      </c>
      <c r="D98" s="16">
        <f>Reference!B408</f>
        <v>0</v>
      </c>
      <c r="E98" s="17">
        <f>Reference!C408</f>
        <v>0</v>
      </c>
      <c r="F98" s="17">
        <f>Reference!D408</f>
        <v>0</v>
      </c>
      <c r="G98" s="17">
        <f>Reference!E408</f>
        <v>0</v>
      </c>
      <c r="H98" s="17">
        <f>Reference!F408</f>
        <v>0</v>
      </c>
      <c r="I98" s="17">
        <f>Reference!G408</f>
        <v>0</v>
      </c>
      <c r="J98" s="18">
        <f t="shared" si="8"/>
        <v>0</v>
      </c>
      <c r="L98" s="16">
        <f>Test!B408</f>
        <v>0</v>
      </c>
      <c r="M98" s="17">
        <f>Test!C408</f>
        <v>0</v>
      </c>
      <c r="N98" s="17">
        <f>Test!D408</f>
        <v>0</v>
      </c>
      <c r="O98" s="17">
        <f>Test!E408</f>
        <v>0</v>
      </c>
      <c r="P98" s="17">
        <f>Test!F408</f>
        <v>0</v>
      </c>
      <c r="Q98" s="17">
        <f>Test!G408</f>
        <v>0</v>
      </c>
      <c r="R98" s="18">
        <f t="shared" si="9"/>
        <v>0</v>
      </c>
      <c r="S98" s="13" t="e">
        <f t="shared" si="10"/>
        <v>#DIV/0!</v>
      </c>
      <c r="T98" s="13" t="e">
        <f t="shared" si="11"/>
        <v>#DIV/0!</v>
      </c>
      <c r="U98" s="48"/>
      <c r="V98" s="32"/>
      <c r="W98" s="44"/>
      <c r="X98" s="44"/>
      <c r="Y98" s="32"/>
      <c r="Z98" s="44"/>
      <c r="AA98" s="45"/>
    </row>
    <row r="99" spans="1:27" x14ac:dyDescent="0.2">
      <c r="A99" s="25"/>
      <c r="B99" s="24" t="s">
        <v>57</v>
      </c>
      <c r="C99" s="24">
        <v>22</v>
      </c>
      <c r="D99" s="9">
        <f>Reference!B409</f>
        <v>0</v>
      </c>
      <c r="E99" s="10">
        <f>Reference!C409</f>
        <v>0</v>
      </c>
      <c r="F99" s="10">
        <f>Reference!D409</f>
        <v>0</v>
      </c>
      <c r="G99" s="10">
        <f>Reference!E409</f>
        <v>0</v>
      </c>
      <c r="H99" s="10">
        <f>Reference!F409</f>
        <v>0</v>
      </c>
      <c r="I99" s="10">
        <f>Reference!G409</f>
        <v>0</v>
      </c>
      <c r="J99" s="11">
        <f t="shared" si="8"/>
        <v>0</v>
      </c>
      <c r="L99" s="9">
        <f>Test!B409</f>
        <v>0</v>
      </c>
      <c r="M99" s="10">
        <f>Test!C409</f>
        <v>0</v>
      </c>
      <c r="N99" s="10">
        <f>Test!D409</f>
        <v>0</v>
      </c>
      <c r="O99" s="10">
        <f>Test!E409</f>
        <v>0</v>
      </c>
      <c r="P99" s="10">
        <f>Test!F409</f>
        <v>0</v>
      </c>
      <c r="Q99" s="10">
        <f>Test!G409</f>
        <v>0</v>
      </c>
      <c r="R99" s="11">
        <f t="shared" si="9"/>
        <v>0</v>
      </c>
      <c r="S99" s="13" t="e">
        <f t="shared" si="10"/>
        <v>#DIV/0!</v>
      </c>
      <c r="T99" s="13" t="e">
        <f t="shared" si="11"/>
        <v>#DIV/0!</v>
      </c>
      <c r="U99" s="48"/>
      <c r="V99" s="30" t="e">
        <f>bdrate($D99:$D102,E99:E102,$L99:$L102,M99:M102)</f>
        <v>#VALUE!</v>
      </c>
      <c r="W99" s="35" t="e">
        <f>bdrate($D99:$D102,F99:F102,$L99:$L102,N99:N102)</f>
        <v>#VALUE!</v>
      </c>
      <c r="X99" s="35" t="e">
        <f>bdrate($D99:$D102,G99:G102,$L99:$L102,O99:O102)</f>
        <v>#VALUE!</v>
      </c>
      <c r="Y99" s="33" t="e">
        <f>bdrateOld($D99:$D102,E99:E102,$L99:$L102,M99:M102)</f>
        <v>#VALUE!</v>
      </c>
      <c r="Z99" s="37" t="e">
        <f>bdrateOld($D99:$D102,F99:F102,$L99:$L102,N99:N102)</f>
        <v>#VALUE!</v>
      </c>
      <c r="AA99" s="38" t="e">
        <f>bdrateOld($D99:$D102,G99:G102,$L99:$L102,O99:O102)</f>
        <v>#VALUE!</v>
      </c>
    </row>
    <row r="100" spans="1:27" x14ac:dyDescent="0.2">
      <c r="A100" s="25"/>
      <c r="B100" s="25"/>
      <c r="C100" s="25">
        <v>27</v>
      </c>
      <c r="D100" s="12">
        <f>Reference!B410</f>
        <v>0</v>
      </c>
      <c r="E100" s="13">
        <f>Reference!C410</f>
        <v>0</v>
      </c>
      <c r="F100" s="13">
        <f>Reference!D410</f>
        <v>0</v>
      </c>
      <c r="G100" s="13">
        <f>Reference!E410</f>
        <v>0</v>
      </c>
      <c r="H100" s="13">
        <f>Reference!F410</f>
        <v>0</v>
      </c>
      <c r="I100" s="13">
        <f>Reference!G410</f>
        <v>0</v>
      </c>
      <c r="J100" s="14">
        <f t="shared" si="8"/>
        <v>0</v>
      </c>
      <c r="L100" s="12">
        <f>Test!B410</f>
        <v>0</v>
      </c>
      <c r="M100" s="13">
        <f>Test!C410</f>
        <v>0</v>
      </c>
      <c r="N100" s="13">
        <f>Test!D410</f>
        <v>0</v>
      </c>
      <c r="O100" s="13">
        <f>Test!E410</f>
        <v>0</v>
      </c>
      <c r="P100" s="13">
        <f>Test!F410</f>
        <v>0</v>
      </c>
      <c r="Q100" s="13">
        <f>Test!G410</f>
        <v>0</v>
      </c>
      <c r="R100" s="14">
        <f t="shared" si="9"/>
        <v>0</v>
      </c>
      <c r="S100" s="13" t="e">
        <f t="shared" si="10"/>
        <v>#DIV/0!</v>
      </c>
      <c r="T100" s="13" t="e">
        <f t="shared" si="11"/>
        <v>#DIV/0!</v>
      </c>
      <c r="U100" s="48"/>
      <c r="V100" s="31"/>
      <c r="W100" s="29"/>
      <c r="X100" s="29"/>
      <c r="Y100" s="31"/>
      <c r="Z100" s="29"/>
      <c r="AA100" s="43"/>
    </row>
    <row r="101" spans="1:27" x14ac:dyDescent="0.2">
      <c r="A101" s="25"/>
      <c r="B101" s="25"/>
      <c r="C101" s="25">
        <v>32</v>
      </c>
      <c r="D101" s="12">
        <f>Reference!B411</f>
        <v>0</v>
      </c>
      <c r="E101" s="13">
        <f>Reference!C411</f>
        <v>0</v>
      </c>
      <c r="F101" s="13">
        <f>Reference!D411</f>
        <v>0</v>
      </c>
      <c r="G101" s="13">
        <f>Reference!E411</f>
        <v>0</v>
      </c>
      <c r="H101" s="13">
        <f>Reference!F411</f>
        <v>0</v>
      </c>
      <c r="I101" s="13">
        <f>Reference!G411</f>
        <v>0</v>
      </c>
      <c r="J101" s="14">
        <f t="shared" si="8"/>
        <v>0</v>
      </c>
      <c r="L101" s="12">
        <f>Test!B411</f>
        <v>0</v>
      </c>
      <c r="M101" s="13">
        <f>Test!C411</f>
        <v>0</v>
      </c>
      <c r="N101" s="13">
        <f>Test!D411</f>
        <v>0</v>
      </c>
      <c r="O101" s="13">
        <f>Test!E411</f>
        <v>0</v>
      </c>
      <c r="P101" s="13">
        <f>Test!F411</f>
        <v>0</v>
      </c>
      <c r="Q101" s="13">
        <f>Test!G411</f>
        <v>0</v>
      </c>
      <c r="R101" s="14">
        <f t="shared" si="9"/>
        <v>0</v>
      </c>
      <c r="S101" s="13" t="e">
        <f t="shared" si="10"/>
        <v>#DIV/0!</v>
      </c>
      <c r="T101" s="13" t="e">
        <f t="shared" si="11"/>
        <v>#DIV/0!</v>
      </c>
      <c r="U101" s="48"/>
      <c r="V101" s="31"/>
      <c r="W101" s="29"/>
      <c r="X101" s="29"/>
      <c r="Y101" s="31"/>
      <c r="Z101" s="29"/>
      <c r="AA101" s="43"/>
    </row>
    <row r="102" spans="1:27" ht="12.75" customHeight="1" thickBot="1" x14ac:dyDescent="0.25">
      <c r="A102" s="25"/>
      <c r="B102" s="26"/>
      <c r="C102" s="26">
        <v>37</v>
      </c>
      <c r="D102" s="16">
        <f>Reference!B412</f>
        <v>0</v>
      </c>
      <c r="E102" s="17">
        <f>Reference!C412</f>
        <v>0</v>
      </c>
      <c r="F102" s="17">
        <f>Reference!D412</f>
        <v>0</v>
      </c>
      <c r="G102" s="17">
        <f>Reference!E412</f>
        <v>0</v>
      </c>
      <c r="H102" s="17">
        <f>Reference!F412</f>
        <v>0</v>
      </c>
      <c r="I102" s="17">
        <f>Reference!G412</f>
        <v>0</v>
      </c>
      <c r="J102" s="18">
        <f t="shared" si="8"/>
        <v>0</v>
      </c>
      <c r="L102" s="16">
        <f>Test!B412</f>
        <v>0</v>
      </c>
      <c r="M102" s="17">
        <f>Test!C412</f>
        <v>0</v>
      </c>
      <c r="N102" s="17">
        <f>Test!D412</f>
        <v>0</v>
      </c>
      <c r="O102" s="17">
        <f>Test!E412</f>
        <v>0</v>
      </c>
      <c r="P102" s="17">
        <f>Test!F412</f>
        <v>0</v>
      </c>
      <c r="Q102" s="17">
        <f>Test!G412</f>
        <v>0</v>
      </c>
      <c r="R102" s="18">
        <f t="shared" si="9"/>
        <v>0</v>
      </c>
      <c r="S102" s="13" t="e">
        <f t="shared" si="10"/>
        <v>#DIV/0!</v>
      </c>
      <c r="T102" s="13" t="e">
        <f t="shared" si="11"/>
        <v>#DIV/0!</v>
      </c>
      <c r="U102" s="48"/>
      <c r="V102" s="32"/>
      <c r="W102" s="44"/>
      <c r="X102" s="44"/>
      <c r="Y102" s="32"/>
      <c r="Z102" s="44"/>
      <c r="AA102" s="45"/>
    </row>
    <row r="103" spans="1:27" x14ac:dyDescent="0.2">
      <c r="A103" s="25"/>
      <c r="B103" s="24" t="s">
        <v>58</v>
      </c>
      <c r="C103" s="24">
        <v>22</v>
      </c>
      <c r="D103" s="9">
        <f>Reference!B413</f>
        <v>0</v>
      </c>
      <c r="E103" s="10">
        <f>Reference!C413</f>
        <v>0</v>
      </c>
      <c r="F103" s="10">
        <f>Reference!D413</f>
        <v>0</v>
      </c>
      <c r="G103" s="10">
        <f>Reference!E413</f>
        <v>0</v>
      </c>
      <c r="H103" s="10">
        <f>Reference!F413</f>
        <v>0</v>
      </c>
      <c r="I103" s="10">
        <f>Reference!G413</f>
        <v>0</v>
      </c>
      <c r="J103" s="11">
        <f t="shared" si="8"/>
        <v>0</v>
      </c>
      <c r="L103" s="9">
        <f>Test!B413</f>
        <v>0</v>
      </c>
      <c r="M103" s="10">
        <f>Test!C413</f>
        <v>0</v>
      </c>
      <c r="N103" s="10">
        <f>Test!D413</f>
        <v>0</v>
      </c>
      <c r="O103" s="10">
        <f>Test!E413</f>
        <v>0</v>
      </c>
      <c r="P103" s="10">
        <f>Test!F413</f>
        <v>0</v>
      </c>
      <c r="Q103" s="10">
        <f>Test!G413</f>
        <v>0</v>
      </c>
      <c r="R103" s="11">
        <f t="shared" si="9"/>
        <v>0</v>
      </c>
      <c r="S103" s="13" t="e">
        <f t="shared" si="10"/>
        <v>#DIV/0!</v>
      </c>
      <c r="T103" s="13" t="e">
        <f t="shared" si="11"/>
        <v>#DIV/0!</v>
      </c>
      <c r="U103" s="48"/>
      <c r="V103" s="30" t="e">
        <f>bdrate($D103:$D106,E103:E106,$L103:$L106,M103:M106)</f>
        <v>#VALUE!</v>
      </c>
      <c r="W103" s="35" t="e">
        <f>bdrate($D103:$D106,F103:F106,$L103:$L106,N103:N106)</f>
        <v>#VALUE!</v>
      </c>
      <c r="X103" s="35" t="e">
        <f>bdrate($D103:$D106,G103:G106,$L103:$L106,O103:O106)</f>
        <v>#VALUE!</v>
      </c>
      <c r="Y103" s="33" t="e">
        <f>bdrateOld($D103:$D106,E103:E106,$L103:$L106,M103:M106)</f>
        <v>#VALUE!</v>
      </c>
      <c r="Z103" s="37" t="e">
        <f>bdrateOld($D103:$D106,F103:F106,$L103:$L106,N103:N106)</f>
        <v>#VALUE!</v>
      </c>
      <c r="AA103" s="38" t="e">
        <f>bdrateOld($D103:$D106,G103:G106,$L103:$L106,O103:O106)</f>
        <v>#VALUE!</v>
      </c>
    </row>
    <row r="104" spans="1:27" x14ac:dyDescent="0.2">
      <c r="A104" s="25"/>
      <c r="B104" s="25"/>
      <c r="C104" s="25">
        <v>27</v>
      </c>
      <c r="D104" s="12">
        <f>Reference!B414</f>
        <v>0</v>
      </c>
      <c r="E104" s="13">
        <f>Reference!C414</f>
        <v>0</v>
      </c>
      <c r="F104" s="13">
        <f>Reference!D414</f>
        <v>0</v>
      </c>
      <c r="G104" s="13">
        <f>Reference!E414</f>
        <v>0</v>
      </c>
      <c r="H104" s="13">
        <f>Reference!F414</f>
        <v>0</v>
      </c>
      <c r="I104" s="13">
        <f>Reference!G414</f>
        <v>0</v>
      </c>
      <c r="J104" s="14">
        <f t="shared" si="8"/>
        <v>0</v>
      </c>
      <c r="L104" s="12">
        <f>Test!B414</f>
        <v>0</v>
      </c>
      <c r="M104" s="13">
        <f>Test!C414</f>
        <v>0</v>
      </c>
      <c r="N104" s="13">
        <f>Test!D414</f>
        <v>0</v>
      </c>
      <c r="O104" s="13">
        <f>Test!E414</f>
        <v>0</v>
      </c>
      <c r="P104" s="13">
        <f>Test!F414</f>
        <v>0</v>
      </c>
      <c r="Q104" s="13">
        <f>Test!G414</f>
        <v>0</v>
      </c>
      <c r="R104" s="14">
        <f t="shared" si="9"/>
        <v>0</v>
      </c>
      <c r="S104" s="13" t="e">
        <f t="shared" si="10"/>
        <v>#DIV/0!</v>
      </c>
      <c r="T104" s="13" t="e">
        <f t="shared" si="11"/>
        <v>#DIV/0!</v>
      </c>
      <c r="U104" s="48"/>
      <c r="V104" s="31"/>
      <c r="W104" s="29"/>
      <c r="X104" s="29"/>
      <c r="Y104" s="31"/>
      <c r="Z104" s="29"/>
      <c r="AA104" s="43"/>
    </row>
    <row r="105" spans="1:27" x14ac:dyDescent="0.2">
      <c r="A105" s="25"/>
      <c r="B105" s="25"/>
      <c r="C105" s="25">
        <v>32</v>
      </c>
      <c r="D105" s="12">
        <f>Reference!B415</f>
        <v>0</v>
      </c>
      <c r="E105" s="13">
        <f>Reference!C415</f>
        <v>0</v>
      </c>
      <c r="F105" s="13">
        <f>Reference!D415</f>
        <v>0</v>
      </c>
      <c r="G105" s="13">
        <f>Reference!E415</f>
        <v>0</v>
      </c>
      <c r="H105" s="13">
        <f>Reference!F415</f>
        <v>0</v>
      </c>
      <c r="I105" s="13">
        <f>Reference!G415</f>
        <v>0</v>
      </c>
      <c r="J105" s="14">
        <f t="shared" si="8"/>
        <v>0</v>
      </c>
      <c r="L105" s="12">
        <f>Test!B415</f>
        <v>0</v>
      </c>
      <c r="M105" s="13">
        <f>Test!C415</f>
        <v>0</v>
      </c>
      <c r="N105" s="13">
        <f>Test!D415</f>
        <v>0</v>
      </c>
      <c r="O105" s="13">
        <f>Test!E415</f>
        <v>0</v>
      </c>
      <c r="P105" s="13">
        <f>Test!F415</f>
        <v>0</v>
      </c>
      <c r="Q105" s="13">
        <f>Test!G415</f>
        <v>0</v>
      </c>
      <c r="R105" s="14">
        <f t="shared" si="9"/>
        <v>0</v>
      </c>
      <c r="S105" s="13" t="e">
        <f t="shared" si="10"/>
        <v>#DIV/0!</v>
      </c>
      <c r="T105" s="13" t="e">
        <f t="shared" si="11"/>
        <v>#DIV/0!</v>
      </c>
      <c r="U105" s="48"/>
      <c r="V105" s="31"/>
      <c r="W105" s="29"/>
      <c r="X105" s="29"/>
      <c r="Y105" s="31"/>
      <c r="Z105" s="29"/>
      <c r="AA105" s="43"/>
    </row>
    <row r="106" spans="1:27" ht="12.75" customHeight="1" thickBot="1" x14ac:dyDescent="0.25">
      <c r="A106" s="26"/>
      <c r="B106" s="26"/>
      <c r="C106" s="26">
        <v>37</v>
      </c>
      <c r="D106" s="16">
        <f>Reference!B416</f>
        <v>0</v>
      </c>
      <c r="E106" s="17">
        <f>Reference!C416</f>
        <v>0</v>
      </c>
      <c r="F106" s="17">
        <f>Reference!D416</f>
        <v>0</v>
      </c>
      <c r="G106" s="17">
        <f>Reference!E416</f>
        <v>0</v>
      </c>
      <c r="H106" s="17">
        <f>Reference!F416</f>
        <v>0</v>
      </c>
      <c r="I106" s="17">
        <f>Reference!G416</f>
        <v>0</v>
      </c>
      <c r="J106" s="18">
        <f t="shared" si="8"/>
        <v>0</v>
      </c>
      <c r="L106" s="16">
        <f>Test!B416</f>
        <v>0</v>
      </c>
      <c r="M106" s="17">
        <f>Test!C416</f>
        <v>0</v>
      </c>
      <c r="N106" s="17">
        <f>Test!D416</f>
        <v>0</v>
      </c>
      <c r="O106" s="17">
        <f>Test!E416</f>
        <v>0</v>
      </c>
      <c r="P106" s="17">
        <f>Test!F416</f>
        <v>0</v>
      </c>
      <c r="Q106" s="17">
        <f>Test!G416</f>
        <v>0</v>
      </c>
      <c r="R106" s="18">
        <f t="shared" si="9"/>
        <v>0</v>
      </c>
      <c r="S106" s="17" t="e">
        <f t="shared" si="10"/>
        <v>#DIV/0!</v>
      </c>
      <c r="T106" s="17" t="e">
        <f t="shared" si="11"/>
        <v>#DIV/0!</v>
      </c>
      <c r="U106" s="49"/>
      <c r="V106" s="32"/>
      <c r="W106" s="44"/>
      <c r="X106" s="44"/>
      <c r="Y106" s="32"/>
      <c r="Z106" s="44"/>
      <c r="AA106" s="45"/>
    </row>
    <row r="107" spans="1:27" x14ac:dyDescent="0.2">
      <c r="B107" s="15" t="s">
        <v>6</v>
      </c>
      <c r="I107" s="48"/>
      <c r="J107" s="48"/>
      <c r="Q107" s="48"/>
      <c r="R107" s="48"/>
      <c r="S107" s="48"/>
      <c r="T107" s="48"/>
      <c r="V107" s="30"/>
      <c r="W107" s="35"/>
      <c r="X107" s="35"/>
      <c r="Y107" s="30"/>
      <c r="Z107" s="35"/>
      <c r="AA107" s="36"/>
    </row>
    <row r="108" spans="1:27" x14ac:dyDescent="0.2">
      <c r="B108" s="15" t="s">
        <v>7</v>
      </c>
      <c r="I108" s="48"/>
      <c r="J108" s="48"/>
      <c r="Q108" s="48"/>
      <c r="R108" s="48"/>
      <c r="S108" s="48"/>
      <c r="T108" s="48"/>
      <c r="V108" s="33"/>
      <c r="W108" s="37"/>
      <c r="X108" s="37"/>
      <c r="Y108" s="33"/>
      <c r="Z108" s="37"/>
      <c r="AA108" s="38"/>
    </row>
    <row r="109" spans="1:27" x14ac:dyDescent="0.2">
      <c r="B109" s="15" t="s">
        <v>8</v>
      </c>
      <c r="I109" s="48" t="e">
        <f>GEOMEAN(I27:I46)</f>
        <v>#NUM!</v>
      </c>
      <c r="J109" s="48" t="e">
        <f>GEOMEAN(J27:J46)</f>
        <v>#NUM!</v>
      </c>
      <c r="Q109" s="48" t="e">
        <f>GEOMEAN(Q27:Q46)</f>
        <v>#NUM!</v>
      </c>
      <c r="R109" s="48" t="e">
        <f>GEOMEAN(R27:R46)</f>
        <v>#NUM!</v>
      </c>
      <c r="S109" s="48" t="e">
        <f>GEOMEAN(S27:S46)</f>
        <v>#DIV/0!</v>
      </c>
      <c r="T109" s="48" t="e">
        <f>GEOMEAN(T27:T46)</f>
        <v>#DIV/0!</v>
      </c>
      <c r="V109" s="33" t="e">
        <f t="shared" ref="V109:AA109" si="12">AVERAGE(V27:V46)</f>
        <v>#VALUE!</v>
      </c>
      <c r="W109" s="37" t="e">
        <f t="shared" si="12"/>
        <v>#VALUE!</v>
      </c>
      <c r="X109" s="37" t="e">
        <f t="shared" si="12"/>
        <v>#VALUE!</v>
      </c>
      <c r="Y109" s="33" t="e">
        <f t="shared" si="12"/>
        <v>#VALUE!</v>
      </c>
      <c r="Z109" s="37" t="e">
        <f t="shared" si="12"/>
        <v>#VALUE!</v>
      </c>
      <c r="AA109" s="38" t="e">
        <f t="shared" si="12"/>
        <v>#VALUE!</v>
      </c>
    </row>
    <row r="110" spans="1:27" x14ac:dyDescent="0.2">
      <c r="B110" s="15" t="s">
        <v>9</v>
      </c>
      <c r="I110" s="48" t="e">
        <f>GEOMEAN(I47:I62)</f>
        <v>#NUM!</v>
      </c>
      <c r="J110" s="48" t="e">
        <f>GEOMEAN(J47:J62)</f>
        <v>#NUM!</v>
      </c>
      <c r="Q110" s="48" t="e">
        <f>GEOMEAN(Q47:Q62)</f>
        <v>#NUM!</v>
      </c>
      <c r="R110" s="48" t="e">
        <f>GEOMEAN(R47:R62)</f>
        <v>#NUM!</v>
      </c>
      <c r="S110" s="48" t="e">
        <f>GEOMEAN(S47:S62)</f>
        <v>#DIV/0!</v>
      </c>
      <c r="T110" s="48" t="e">
        <f>GEOMEAN(T47:T62)</f>
        <v>#DIV/0!</v>
      </c>
      <c r="V110" s="33" t="e">
        <f t="shared" ref="V110:AA110" si="13">AVERAGE(V47:V62)</f>
        <v>#VALUE!</v>
      </c>
      <c r="W110" s="37" t="e">
        <f t="shared" si="13"/>
        <v>#VALUE!</v>
      </c>
      <c r="X110" s="37" t="e">
        <f t="shared" si="13"/>
        <v>#VALUE!</v>
      </c>
      <c r="Y110" s="33" t="e">
        <f t="shared" si="13"/>
        <v>#VALUE!</v>
      </c>
      <c r="Z110" s="37" t="e">
        <f t="shared" si="13"/>
        <v>#VALUE!</v>
      </c>
      <c r="AA110" s="38" t="e">
        <f t="shared" si="13"/>
        <v>#VALUE!</v>
      </c>
    </row>
    <row r="111" spans="1:27" x14ac:dyDescent="0.2">
      <c r="B111" s="15" t="s">
        <v>12</v>
      </c>
      <c r="I111" s="48" t="e">
        <f>GEOMEAN(I63:I78)</f>
        <v>#NUM!</v>
      </c>
      <c r="J111" s="48" t="e">
        <f>GEOMEAN(J63:J78)</f>
        <v>#NUM!</v>
      </c>
      <c r="Q111" s="48" t="e">
        <f>GEOMEAN(Q63:Q78)</f>
        <v>#NUM!</v>
      </c>
      <c r="R111" s="48" t="e">
        <f>GEOMEAN(R63:R78)</f>
        <v>#NUM!</v>
      </c>
      <c r="S111" s="48" t="e">
        <f>GEOMEAN(S63:S78)</f>
        <v>#DIV/0!</v>
      </c>
      <c r="T111" s="48" t="e">
        <f>GEOMEAN(T63:T78)</f>
        <v>#DIV/0!</v>
      </c>
      <c r="V111" s="33" t="e">
        <f t="shared" ref="V111:AA111" si="14">AVERAGE(V63:V78)</f>
        <v>#VALUE!</v>
      </c>
      <c r="W111" s="37" t="e">
        <f t="shared" si="14"/>
        <v>#VALUE!</v>
      </c>
      <c r="X111" s="37" t="e">
        <f t="shared" si="14"/>
        <v>#VALUE!</v>
      </c>
      <c r="Y111" s="33" t="e">
        <f t="shared" si="14"/>
        <v>#VALUE!</v>
      </c>
      <c r="Z111" s="37" t="e">
        <f t="shared" si="14"/>
        <v>#VALUE!</v>
      </c>
      <c r="AA111" s="38" t="e">
        <f t="shared" si="14"/>
        <v>#VALUE!</v>
      </c>
    </row>
    <row r="112" spans="1:27" x14ac:dyDescent="0.2">
      <c r="B112" s="15" t="s">
        <v>10</v>
      </c>
      <c r="I112" s="48" t="e">
        <f>GEOMEAN(I79:I90)</f>
        <v>#NUM!</v>
      </c>
      <c r="J112" s="48" t="e">
        <f>GEOMEAN(J79:J90)</f>
        <v>#NUM!</v>
      </c>
      <c r="Q112" s="48" t="e">
        <f>GEOMEAN(Q79:Q90)</f>
        <v>#NUM!</v>
      </c>
      <c r="R112" s="48" t="e">
        <f>GEOMEAN(R79:R90)</f>
        <v>#NUM!</v>
      </c>
      <c r="S112" s="48" t="e">
        <f>GEOMEAN(S79:S90)</f>
        <v>#DIV/0!</v>
      </c>
      <c r="T112" s="48" t="e">
        <f>GEOMEAN(T79:T90)</f>
        <v>#DIV/0!</v>
      </c>
      <c r="V112" s="33" t="e">
        <f t="shared" ref="V112:AA112" si="15">AVERAGE(V79:V88)</f>
        <v>#VALUE!</v>
      </c>
      <c r="W112" s="37" t="e">
        <f t="shared" si="15"/>
        <v>#VALUE!</v>
      </c>
      <c r="X112" s="37" t="e">
        <f t="shared" si="15"/>
        <v>#VALUE!</v>
      </c>
      <c r="Y112" s="33" t="e">
        <f t="shared" si="15"/>
        <v>#VALUE!</v>
      </c>
      <c r="Z112" s="37" t="e">
        <f t="shared" si="15"/>
        <v>#VALUE!</v>
      </c>
      <c r="AA112" s="38" t="e">
        <f t="shared" si="15"/>
        <v>#VALUE!</v>
      </c>
    </row>
    <row r="113" spans="1:27" ht="12.75" customHeight="1" thickBot="1" x14ac:dyDescent="0.25">
      <c r="B113" s="15" t="s">
        <v>13</v>
      </c>
      <c r="I113" s="48" t="e">
        <f>GEOMEAN(I91:I106)</f>
        <v>#NUM!</v>
      </c>
      <c r="J113" s="48" t="e">
        <f>GEOMEAN(J91:J106)</f>
        <v>#NUM!</v>
      </c>
      <c r="Q113" s="48" t="e">
        <f>GEOMEAN(Q91:Q106)</f>
        <v>#NUM!</v>
      </c>
      <c r="R113" s="48" t="e">
        <f>GEOMEAN(R91:R106)</f>
        <v>#NUM!</v>
      </c>
      <c r="S113" s="48" t="e">
        <f>GEOMEAN(S91:S106)</f>
        <v>#DIV/0!</v>
      </c>
      <c r="T113" s="48" t="e">
        <f>GEOMEAN(T91:T106)</f>
        <v>#DIV/0!</v>
      </c>
      <c r="V113" s="33" t="e">
        <f t="shared" ref="V113:AA113" si="16">AVERAGE(V91:V106)</f>
        <v>#VALUE!</v>
      </c>
      <c r="W113" s="37" t="e">
        <f t="shared" si="16"/>
        <v>#VALUE!</v>
      </c>
      <c r="X113" s="37" t="e">
        <f t="shared" si="16"/>
        <v>#VALUE!</v>
      </c>
      <c r="Y113" s="33" t="e">
        <f t="shared" si="16"/>
        <v>#VALUE!</v>
      </c>
      <c r="Z113" s="37" t="e">
        <f t="shared" si="16"/>
        <v>#VALUE!</v>
      </c>
      <c r="AA113" s="38" t="e">
        <f t="shared" si="16"/>
        <v>#VALUE!</v>
      </c>
    </row>
    <row r="114" spans="1:27" ht="12.75" customHeight="1" thickBot="1" x14ac:dyDescent="0.25">
      <c r="A114" s="1"/>
      <c r="B114" s="2" t="s">
        <v>77</v>
      </c>
      <c r="C114" s="2"/>
      <c r="D114" s="2"/>
      <c r="E114" s="2"/>
      <c r="F114" s="2"/>
      <c r="G114" s="2"/>
      <c r="H114" s="2"/>
      <c r="I114" s="50" t="e">
        <f>GEOMEAN(I3:I62,I79:I90)</f>
        <v>#NUM!</v>
      </c>
      <c r="J114" s="50" t="e">
        <f>GEOMEAN(J3:J62,J79:J90)</f>
        <v>#NUM!</v>
      </c>
      <c r="K114" s="2"/>
      <c r="L114" s="2"/>
      <c r="M114" s="2"/>
      <c r="N114" s="2"/>
      <c r="O114" s="2"/>
      <c r="P114" s="2"/>
      <c r="Q114" s="50" t="e">
        <f>GEOMEAN(Q3:Q62,Q79:Q90)</f>
        <v>#NUM!</v>
      </c>
      <c r="R114" s="50" t="e">
        <f>GEOMEAN(R3:R62,R79:R90)</f>
        <v>#NUM!</v>
      </c>
      <c r="S114" s="50" t="e">
        <f>GEOMEAN(S3:S62,S79:S90)</f>
        <v>#DIV/0!</v>
      </c>
      <c r="T114" s="50" t="e">
        <f>GEOMEAN(T3:T62,T79:T90)</f>
        <v>#DIV/0!</v>
      </c>
      <c r="U114" s="2"/>
      <c r="V114" s="34" t="e">
        <f t="shared" ref="V114:AA114" si="17">AVERAGE(V3:V62,V79:V90)</f>
        <v>#VALUE!</v>
      </c>
      <c r="W114" s="39" t="e">
        <f t="shared" si="17"/>
        <v>#VALUE!</v>
      </c>
      <c r="X114" s="39" t="e">
        <f t="shared" si="17"/>
        <v>#VALUE!</v>
      </c>
      <c r="Y114" s="34" t="e">
        <f t="shared" si="17"/>
        <v>#VALUE!</v>
      </c>
      <c r="Z114" s="39" t="e">
        <f t="shared" si="17"/>
        <v>#VALUE!</v>
      </c>
      <c r="AA114" s="40" t="e">
        <f t="shared" si="17"/>
        <v>#VALUE!</v>
      </c>
    </row>
    <row r="115" spans="1:27" x14ac:dyDescent="0.2">
      <c r="B115" s="15" t="s">
        <v>78</v>
      </c>
      <c r="I115" s="81" t="e">
        <f>GEOMEAN(I3:I106)</f>
        <v>#NUM!</v>
      </c>
      <c r="J115" s="81" t="e">
        <f>GEOMEAN(J3:J106)</f>
        <v>#NUM!</v>
      </c>
      <c r="Q115" s="81" t="e">
        <f>GEOMEAN(Q3:Q106)</f>
        <v>#NUM!</v>
      </c>
      <c r="R115" s="81" t="e">
        <f>GEOMEAN(R3:R106)</f>
        <v>#NUM!</v>
      </c>
      <c r="S115" s="81"/>
      <c r="T115" s="81"/>
    </row>
    <row r="116" spans="1:27" x14ac:dyDescent="0.2">
      <c r="B116" s="15" t="s">
        <v>79</v>
      </c>
      <c r="Q116" s="19" t="e">
        <f>Q115/I115</f>
        <v>#NUM!</v>
      </c>
      <c r="R116" s="19" t="e">
        <f>R115/J115</f>
        <v>#NUM!</v>
      </c>
      <c r="S116" s="19"/>
      <c r="T116" s="19"/>
    </row>
    <row r="117" spans="1:27" x14ac:dyDescent="0.2">
      <c r="B117" s="15" t="s">
        <v>80</v>
      </c>
      <c r="I117" s="81"/>
      <c r="J117" s="81"/>
      <c r="Q117" s="81"/>
      <c r="R117" s="81"/>
      <c r="S117" s="81"/>
      <c r="T117" s="81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6"/>
  <sheetViews>
    <sheetView topLeftCell="A70" workbookViewId="0">
      <selection activeCell="D119" sqref="D119"/>
    </sheetView>
  </sheetViews>
  <sheetFormatPr defaultColWidth="9" defaultRowHeight="14.25" x14ac:dyDescent="0.15"/>
  <cols>
    <col min="1" max="1" width="57.625" style="21" customWidth="1"/>
    <col min="2" max="5" width="9" style="21"/>
    <col min="6" max="6" width="16.5" style="21" customWidth="1"/>
    <col min="7" max="16384" width="9" style="21"/>
  </cols>
  <sheetData>
    <row r="1" spans="1:8" x14ac:dyDescent="0.15">
      <c r="A1" s="112" t="s">
        <v>83</v>
      </c>
      <c r="B1" s="131">
        <v>872.22</v>
      </c>
      <c r="C1" s="131">
        <v>36.534300000000002</v>
      </c>
      <c r="D1" s="131">
        <v>44.644300000000001</v>
      </c>
      <c r="E1" s="131">
        <v>42.063800000000001</v>
      </c>
      <c r="F1" s="112">
        <v>101048.07</v>
      </c>
      <c r="G1" s="112">
        <v>32.97</v>
      </c>
      <c r="H1" s="112"/>
    </row>
    <row r="2" spans="1:8" x14ac:dyDescent="0.15">
      <c r="A2" s="112" t="s">
        <v>84</v>
      </c>
      <c r="B2" s="131">
        <v>498.42</v>
      </c>
      <c r="C2" s="131">
        <v>34.409799999999997</v>
      </c>
      <c r="D2" s="131">
        <v>42.046599999999998</v>
      </c>
      <c r="E2" s="131">
        <v>39.482300000000002</v>
      </c>
      <c r="F2" s="112">
        <v>41460.04</v>
      </c>
      <c r="G2" s="112">
        <v>24.41</v>
      </c>
      <c r="H2" s="112"/>
    </row>
    <row r="3" spans="1:8" x14ac:dyDescent="0.15">
      <c r="A3" s="112" t="s">
        <v>85</v>
      </c>
      <c r="B3" s="131">
        <v>283.98</v>
      </c>
      <c r="C3" s="131">
        <v>31.9786</v>
      </c>
      <c r="D3" s="131">
        <v>38.952800000000003</v>
      </c>
      <c r="E3" s="131">
        <v>36.2973</v>
      </c>
      <c r="F3" s="112">
        <v>17015.32</v>
      </c>
      <c r="G3" s="112">
        <v>23.09</v>
      </c>
      <c r="H3" s="112"/>
    </row>
    <row r="4" spans="1:8" x14ac:dyDescent="0.15">
      <c r="A4" s="112" t="s">
        <v>86</v>
      </c>
      <c r="B4" s="131">
        <v>160.62</v>
      </c>
      <c r="C4" s="131">
        <v>29.408899999999999</v>
      </c>
      <c r="D4" s="131">
        <v>35.444200000000002</v>
      </c>
      <c r="E4" s="131">
        <v>33.195900000000002</v>
      </c>
      <c r="F4" s="112">
        <v>5915.64</v>
      </c>
      <c r="G4" s="112">
        <v>20.49</v>
      </c>
      <c r="H4" s="112"/>
    </row>
    <row r="5" spans="1:8" x14ac:dyDescent="0.15">
      <c r="A5" s="112" t="s">
        <v>87</v>
      </c>
      <c r="B5" s="131">
        <v>741.3</v>
      </c>
      <c r="C5" s="131">
        <v>41.396999999999998</v>
      </c>
      <c r="D5" s="131">
        <v>45.143099999999997</v>
      </c>
      <c r="E5" s="131">
        <v>45.142499999999998</v>
      </c>
      <c r="F5" s="112">
        <v>66349.850000000006</v>
      </c>
      <c r="G5" s="112">
        <v>32.64</v>
      </c>
      <c r="H5" s="112"/>
    </row>
    <row r="6" spans="1:8" x14ac:dyDescent="0.15">
      <c r="A6" s="112" t="s">
        <v>88</v>
      </c>
      <c r="B6" s="131">
        <v>462.96</v>
      </c>
      <c r="C6" s="131">
        <v>38.810200000000002</v>
      </c>
      <c r="D6" s="131">
        <v>42.353400000000001</v>
      </c>
      <c r="E6" s="131">
        <v>42.047600000000003</v>
      </c>
      <c r="F6" s="112">
        <v>32005.51</v>
      </c>
      <c r="G6" s="112">
        <v>28.53</v>
      </c>
      <c r="H6" s="112"/>
    </row>
    <row r="7" spans="1:8" x14ac:dyDescent="0.15">
      <c r="A7" s="112" t="s">
        <v>89</v>
      </c>
      <c r="B7" s="131">
        <v>281.7</v>
      </c>
      <c r="C7" s="131">
        <v>35.805999999999997</v>
      </c>
      <c r="D7" s="131">
        <v>39.443899999999999</v>
      </c>
      <c r="E7" s="131">
        <v>38.654899999999998</v>
      </c>
      <c r="F7" s="112">
        <v>19331.11</v>
      </c>
      <c r="G7" s="112">
        <v>25.53</v>
      </c>
      <c r="H7" s="112"/>
    </row>
    <row r="8" spans="1:8" x14ac:dyDescent="0.15">
      <c r="A8" s="112" t="s">
        <v>90</v>
      </c>
      <c r="B8" s="131">
        <v>172.14</v>
      </c>
      <c r="C8" s="131">
        <v>32.665900000000001</v>
      </c>
      <c r="D8" s="131">
        <v>35.927900000000001</v>
      </c>
      <c r="E8" s="131">
        <v>35.671300000000002</v>
      </c>
      <c r="F8" s="112">
        <v>9293.5300000000007</v>
      </c>
      <c r="G8" s="112">
        <v>22.98</v>
      </c>
      <c r="H8" s="112"/>
    </row>
    <row r="9" spans="1:8" ht="15" x14ac:dyDescent="0.2">
      <c r="A9" s="112" t="s">
        <v>91</v>
      </c>
      <c r="B9" s="132">
        <v>890.16</v>
      </c>
      <c r="C9" s="132">
        <v>34.745800000000003</v>
      </c>
      <c r="D9" s="132">
        <v>34.651299999999999</v>
      </c>
      <c r="E9" s="132">
        <v>36.779200000000003</v>
      </c>
      <c r="F9" s="112">
        <v>93038.44</v>
      </c>
      <c r="G9" s="112">
        <v>47.86</v>
      </c>
      <c r="H9" s="112"/>
    </row>
    <row r="10" spans="1:8" ht="15" x14ac:dyDescent="0.2">
      <c r="A10" s="112" t="s">
        <v>92</v>
      </c>
      <c r="B10" s="132">
        <v>415.32</v>
      </c>
      <c r="C10" s="132">
        <v>32.9099</v>
      </c>
      <c r="D10" s="132">
        <v>32.220599999999997</v>
      </c>
      <c r="E10" s="132">
        <v>34.714300000000001</v>
      </c>
      <c r="F10" s="112">
        <v>62168.07</v>
      </c>
      <c r="G10" s="112">
        <v>35.07</v>
      </c>
      <c r="H10" s="112"/>
    </row>
    <row r="11" spans="1:8" ht="15" x14ac:dyDescent="0.2">
      <c r="A11" s="112" t="s">
        <v>93</v>
      </c>
      <c r="B11" s="132">
        <v>194.85</v>
      </c>
      <c r="C11" s="132">
        <v>30.870899999999999</v>
      </c>
      <c r="D11" s="132">
        <v>30.4115</v>
      </c>
      <c r="E11" s="132">
        <v>32.390700000000002</v>
      </c>
      <c r="F11" s="112">
        <v>37171.379999999997</v>
      </c>
      <c r="G11" s="112">
        <v>26.01</v>
      </c>
      <c r="H11" s="112"/>
    </row>
    <row r="12" spans="1:8" ht="15" x14ac:dyDescent="0.2">
      <c r="A12" s="112" t="s">
        <v>94</v>
      </c>
      <c r="B12" s="132">
        <v>89.37</v>
      </c>
      <c r="C12" s="132">
        <v>28.807300000000001</v>
      </c>
      <c r="D12" s="132">
        <v>28.8475</v>
      </c>
      <c r="E12" s="132">
        <v>30.155100000000001</v>
      </c>
      <c r="F12" s="112">
        <v>17471.32</v>
      </c>
      <c r="G12" s="112">
        <v>21.61</v>
      </c>
      <c r="H12" s="112"/>
    </row>
    <row r="13" spans="1:8" ht="15" x14ac:dyDescent="0.2">
      <c r="A13" s="112" t="s">
        <v>95</v>
      </c>
      <c r="B13" s="132">
        <v>1952.46</v>
      </c>
      <c r="C13" s="132">
        <v>34.2378</v>
      </c>
      <c r="D13" s="132">
        <v>38.635800000000003</v>
      </c>
      <c r="E13" s="132">
        <v>37.892600000000002</v>
      </c>
      <c r="F13" s="112">
        <v>102181.19</v>
      </c>
      <c r="G13" s="112">
        <v>44.07</v>
      </c>
      <c r="H13" s="112"/>
    </row>
    <row r="14" spans="1:8" ht="15" x14ac:dyDescent="0.2">
      <c r="A14" s="112" t="s">
        <v>96</v>
      </c>
      <c r="B14" s="132">
        <v>1013.34</v>
      </c>
      <c r="C14" s="132">
        <v>31.5703</v>
      </c>
      <c r="D14" s="132">
        <v>36.723300000000002</v>
      </c>
      <c r="E14" s="132">
        <v>35.492699999999999</v>
      </c>
      <c r="F14" s="112">
        <v>57084.52</v>
      </c>
      <c r="G14" s="112">
        <v>32.85</v>
      </c>
      <c r="H14" s="112"/>
    </row>
    <row r="15" spans="1:8" ht="15" x14ac:dyDescent="0.2">
      <c r="A15" s="112" t="s">
        <v>97</v>
      </c>
      <c r="B15" s="132">
        <v>474.18</v>
      </c>
      <c r="C15" s="132">
        <v>28.9008</v>
      </c>
      <c r="D15" s="132">
        <v>34.540300000000002</v>
      </c>
      <c r="E15" s="132">
        <v>32.804200000000002</v>
      </c>
      <c r="F15" s="112">
        <v>31538.76</v>
      </c>
      <c r="G15" s="112">
        <v>27.8</v>
      </c>
      <c r="H15" s="112"/>
    </row>
    <row r="16" spans="1:8" ht="15" x14ac:dyDescent="0.2">
      <c r="A16" s="112" t="s">
        <v>98</v>
      </c>
      <c r="B16" s="132">
        <v>214.2</v>
      </c>
      <c r="C16" s="132">
        <v>26.623100000000001</v>
      </c>
      <c r="D16" s="132">
        <v>31.9514</v>
      </c>
      <c r="E16" s="132">
        <v>30.324400000000001</v>
      </c>
      <c r="F16" s="112">
        <v>16408.28</v>
      </c>
      <c r="G16" s="112">
        <v>23.78</v>
      </c>
      <c r="H16" s="112"/>
    </row>
    <row r="17" spans="1:8" ht="15" x14ac:dyDescent="0.2">
      <c r="A17" s="112" t="s">
        <v>99</v>
      </c>
      <c r="B17" s="132">
        <v>1608.6</v>
      </c>
      <c r="C17" s="132">
        <v>33.244900000000001</v>
      </c>
      <c r="D17" s="132">
        <v>41.5471</v>
      </c>
      <c r="E17" s="132">
        <v>38.804699999999997</v>
      </c>
      <c r="F17" s="112">
        <v>130203.62</v>
      </c>
      <c r="G17" s="112">
        <v>50.93</v>
      </c>
      <c r="H17" s="112"/>
    </row>
    <row r="18" spans="1:8" ht="15" x14ac:dyDescent="0.2">
      <c r="A18" s="112" t="s">
        <v>100</v>
      </c>
      <c r="B18" s="132">
        <v>784.02</v>
      </c>
      <c r="C18" s="132">
        <v>31.038499999999999</v>
      </c>
      <c r="D18" s="132">
        <v>39.880099999999999</v>
      </c>
      <c r="E18" s="132">
        <v>37.309100000000001</v>
      </c>
      <c r="F18" s="112">
        <v>74398.81</v>
      </c>
      <c r="G18" s="112">
        <v>30.84</v>
      </c>
      <c r="H18" s="112"/>
    </row>
    <row r="19" spans="1:8" ht="15" x14ac:dyDescent="0.2">
      <c r="A19" s="112" t="s">
        <v>101</v>
      </c>
      <c r="B19" s="132">
        <v>361.68</v>
      </c>
      <c r="C19" s="132">
        <v>28.797499999999999</v>
      </c>
      <c r="D19" s="132">
        <v>37.777999999999999</v>
      </c>
      <c r="E19" s="132">
        <v>35.474699999999999</v>
      </c>
      <c r="F19" s="112">
        <v>37090.29</v>
      </c>
      <c r="G19" s="112">
        <v>26.21</v>
      </c>
      <c r="H19" s="112"/>
    </row>
    <row r="20" spans="1:8" ht="15" x14ac:dyDescent="0.2">
      <c r="A20" s="112" t="s">
        <v>102</v>
      </c>
      <c r="B20" s="132">
        <v>159.96</v>
      </c>
      <c r="C20" s="132">
        <v>26.741199999999999</v>
      </c>
      <c r="D20" s="132">
        <v>35.555599999999998</v>
      </c>
      <c r="E20" s="132">
        <v>32.927100000000003</v>
      </c>
      <c r="F20" s="112">
        <v>18431.72</v>
      </c>
      <c r="G20" s="112">
        <v>21.27</v>
      </c>
      <c r="H20" s="112"/>
    </row>
    <row r="21" spans="1:8" ht="15" x14ac:dyDescent="0.2">
      <c r="A21" s="112" t="s">
        <v>103</v>
      </c>
      <c r="B21" s="132">
        <v>3678.65</v>
      </c>
      <c r="C21" s="132">
        <v>33.122500000000002</v>
      </c>
      <c r="D21" s="132">
        <v>30.236999999999998</v>
      </c>
      <c r="E21" s="132">
        <v>32.247700000000002</v>
      </c>
      <c r="F21" s="112">
        <v>106546.72</v>
      </c>
      <c r="G21" s="112">
        <v>45.94</v>
      </c>
      <c r="H21" s="112"/>
    </row>
    <row r="22" spans="1:8" ht="15" x14ac:dyDescent="0.2">
      <c r="A22" s="112" t="s">
        <v>104</v>
      </c>
      <c r="B22" s="132">
        <v>1476.6</v>
      </c>
      <c r="C22" s="132">
        <v>30.3033</v>
      </c>
      <c r="D22" s="132">
        <v>28.5501</v>
      </c>
      <c r="E22" s="132">
        <v>30.979600000000001</v>
      </c>
      <c r="F22" s="112">
        <v>74410.320000000007</v>
      </c>
      <c r="G22" s="112">
        <v>39.71</v>
      </c>
      <c r="H22" s="112"/>
    </row>
    <row r="23" spans="1:8" ht="15" x14ac:dyDescent="0.2">
      <c r="A23" s="112" t="s">
        <v>105</v>
      </c>
      <c r="B23" s="132">
        <v>574.5</v>
      </c>
      <c r="C23" s="132">
        <v>27.769500000000001</v>
      </c>
      <c r="D23" s="132">
        <v>27.641999999999999</v>
      </c>
      <c r="E23" s="132">
        <v>30.310700000000001</v>
      </c>
      <c r="F23" s="112">
        <v>54285.35</v>
      </c>
      <c r="G23" s="112">
        <v>34.22</v>
      </c>
      <c r="H23" s="112"/>
    </row>
    <row r="24" spans="1:8" ht="15" x14ac:dyDescent="0.2">
      <c r="A24" s="112" t="s">
        <v>106</v>
      </c>
      <c r="B24" s="132">
        <v>219.25</v>
      </c>
      <c r="C24" s="132">
        <v>25.702000000000002</v>
      </c>
      <c r="D24" s="132">
        <v>26.932400000000001</v>
      </c>
      <c r="E24" s="132">
        <v>29.477</v>
      </c>
      <c r="F24" s="112">
        <v>33278.839999999997</v>
      </c>
      <c r="G24" s="112">
        <v>29.04</v>
      </c>
      <c r="H24" s="112"/>
    </row>
    <row r="25" spans="1:8" ht="15" x14ac:dyDescent="0.2">
      <c r="A25" s="112" t="s">
        <v>107</v>
      </c>
      <c r="B25" s="132">
        <v>597.29999999999995</v>
      </c>
      <c r="C25" s="132">
        <v>33.4664</v>
      </c>
      <c r="D25" s="132">
        <v>39.642699999999998</v>
      </c>
      <c r="E25" s="132">
        <v>40.433999999999997</v>
      </c>
      <c r="F25" s="112">
        <v>53941.3</v>
      </c>
      <c r="G25" s="112">
        <v>19.190000000000001</v>
      </c>
      <c r="H25" s="112"/>
    </row>
    <row r="26" spans="1:8" ht="15" x14ac:dyDescent="0.2">
      <c r="A26" s="112" t="s">
        <v>108</v>
      </c>
      <c r="B26" s="132">
        <v>276.06</v>
      </c>
      <c r="C26" s="132">
        <v>31.218499999999999</v>
      </c>
      <c r="D26" s="132">
        <v>37.940600000000003</v>
      </c>
      <c r="E26" s="132">
        <v>38.388199999999998</v>
      </c>
      <c r="F26" s="112">
        <v>35925.97</v>
      </c>
      <c r="G26" s="112">
        <v>16.940000000000001</v>
      </c>
      <c r="H26" s="112"/>
    </row>
    <row r="27" spans="1:8" ht="15" x14ac:dyDescent="0.2">
      <c r="A27" s="112" t="s">
        <v>109</v>
      </c>
      <c r="B27" s="132">
        <v>129</v>
      </c>
      <c r="C27" s="132">
        <v>29.197800000000001</v>
      </c>
      <c r="D27" s="132">
        <v>36.210700000000003</v>
      </c>
      <c r="E27" s="132">
        <v>36.258499999999998</v>
      </c>
      <c r="F27" s="112">
        <v>23815.41</v>
      </c>
      <c r="G27" s="112">
        <v>13.98</v>
      </c>
      <c r="H27" s="112"/>
    </row>
    <row r="28" spans="1:8" ht="15" x14ac:dyDescent="0.2">
      <c r="A28" s="112" t="s">
        <v>110</v>
      </c>
      <c r="B28" s="132">
        <v>61.44</v>
      </c>
      <c r="C28" s="132">
        <v>27.204499999999999</v>
      </c>
      <c r="D28" s="132">
        <v>33.726700000000001</v>
      </c>
      <c r="E28" s="132">
        <v>33.665700000000001</v>
      </c>
      <c r="F28" s="112">
        <v>13490.15</v>
      </c>
      <c r="G28" s="112">
        <v>12.17</v>
      </c>
      <c r="H28" s="112"/>
    </row>
    <row r="29" spans="1:8" ht="15" x14ac:dyDescent="0.2">
      <c r="A29" s="112" t="s">
        <v>111</v>
      </c>
      <c r="B29" s="132">
        <v>343.32</v>
      </c>
      <c r="C29" s="132">
        <v>37.682499999999997</v>
      </c>
      <c r="D29" s="132">
        <v>42.3553</v>
      </c>
      <c r="E29" s="132">
        <v>43.0062</v>
      </c>
      <c r="F29" s="112">
        <v>36383.21</v>
      </c>
      <c r="G29" s="112">
        <v>19.63</v>
      </c>
      <c r="H29" s="112"/>
    </row>
    <row r="30" spans="1:8" ht="15" x14ac:dyDescent="0.2">
      <c r="A30" s="112" t="s">
        <v>112</v>
      </c>
      <c r="B30" s="132">
        <v>188.76</v>
      </c>
      <c r="C30" s="132">
        <v>34.69</v>
      </c>
      <c r="D30" s="132">
        <v>40.113900000000001</v>
      </c>
      <c r="E30" s="132">
        <v>40.496299999999998</v>
      </c>
      <c r="F30" s="112">
        <v>24879.55</v>
      </c>
      <c r="G30" s="112">
        <v>16.739999999999998</v>
      </c>
      <c r="H30" s="112"/>
    </row>
    <row r="31" spans="1:8" ht="15" x14ac:dyDescent="0.2">
      <c r="A31" s="112" t="s">
        <v>113</v>
      </c>
      <c r="B31" s="132">
        <v>103.32</v>
      </c>
      <c r="C31" s="132">
        <v>31.8874</v>
      </c>
      <c r="D31" s="132">
        <v>39.026600000000002</v>
      </c>
      <c r="E31" s="132">
        <v>37.3889</v>
      </c>
      <c r="F31" s="112">
        <v>17196.63</v>
      </c>
      <c r="G31" s="112">
        <v>13.95</v>
      </c>
      <c r="H31" s="112"/>
    </row>
    <row r="32" spans="1:8" ht="15" x14ac:dyDescent="0.2">
      <c r="A32" s="112" t="s">
        <v>114</v>
      </c>
      <c r="B32" s="132">
        <v>56.46</v>
      </c>
      <c r="C32" s="132">
        <v>29.0381</v>
      </c>
      <c r="D32" s="132">
        <v>37.516100000000002</v>
      </c>
      <c r="E32" s="132">
        <v>34.5702</v>
      </c>
      <c r="F32" s="112">
        <v>9631.58</v>
      </c>
      <c r="G32" s="112">
        <v>11.18</v>
      </c>
      <c r="H32" s="112"/>
    </row>
    <row r="33" spans="1:8" ht="15" x14ac:dyDescent="0.2">
      <c r="A33" s="112" t="s">
        <v>115</v>
      </c>
      <c r="B33" s="132">
        <v>840.05</v>
      </c>
      <c r="C33" s="132">
        <v>31.227699999999999</v>
      </c>
      <c r="D33" s="132">
        <v>36.361499999999999</v>
      </c>
      <c r="E33" s="132">
        <v>37.191899999999997</v>
      </c>
      <c r="F33" s="112">
        <v>59355.33</v>
      </c>
      <c r="G33" s="112">
        <v>22.92</v>
      </c>
      <c r="H33" s="112"/>
    </row>
    <row r="34" spans="1:8" ht="15" x14ac:dyDescent="0.2">
      <c r="A34" s="112" t="s">
        <v>116</v>
      </c>
      <c r="B34" s="132">
        <v>403.4</v>
      </c>
      <c r="C34" s="132">
        <v>28.606300000000001</v>
      </c>
      <c r="D34" s="132">
        <v>34.693100000000001</v>
      </c>
      <c r="E34" s="132">
        <v>34.7727</v>
      </c>
      <c r="F34" s="112">
        <v>39956.370000000003</v>
      </c>
      <c r="G34" s="112">
        <v>17.53</v>
      </c>
      <c r="H34" s="112"/>
    </row>
    <row r="35" spans="1:8" ht="15" x14ac:dyDescent="0.2">
      <c r="A35" s="112" t="s">
        <v>117</v>
      </c>
      <c r="B35" s="132">
        <v>178.4</v>
      </c>
      <c r="C35" s="132">
        <v>26.169799999999999</v>
      </c>
      <c r="D35" s="132">
        <v>32.9133</v>
      </c>
      <c r="E35" s="132">
        <v>32.2423</v>
      </c>
      <c r="F35" s="112">
        <v>25400.82</v>
      </c>
      <c r="G35" s="112">
        <v>14.02</v>
      </c>
      <c r="H35" s="112"/>
    </row>
    <row r="36" spans="1:8" ht="15" x14ac:dyDescent="0.2">
      <c r="A36" s="112" t="s">
        <v>118</v>
      </c>
      <c r="B36" s="132">
        <v>76.849999999999994</v>
      </c>
      <c r="C36" s="132">
        <v>24.154800000000002</v>
      </c>
      <c r="D36" s="132">
        <v>31.156099999999999</v>
      </c>
      <c r="E36" s="132">
        <v>29.5578</v>
      </c>
      <c r="F36" s="112">
        <v>14923.87</v>
      </c>
      <c r="G36" s="112">
        <v>11.46</v>
      </c>
      <c r="H36" s="112"/>
    </row>
    <row r="37" spans="1:8" ht="15" x14ac:dyDescent="0.2">
      <c r="A37" s="112" t="s">
        <v>119</v>
      </c>
      <c r="B37" s="132">
        <v>392</v>
      </c>
      <c r="C37" s="132">
        <v>34.919199999999996</v>
      </c>
      <c r="D37" s="132">
        <v>40.501899999999999</v>
      </c>
      <c r="E37" s="132">
        <v>40.134300000000003</v>
      </c>
      <c r="F37" s="112">
        <v>50987.48</v>
      </c>
      <c r="G37" s="112">
        <v>20.04</v>
      </c>
      <c r="H37" s="112"/>
    </row>
    <row r="38" spans="1:8" ht="15" x14ac:dyDescent="0.2">
      <c r="A38" s="112" t="s">
        <v>120</v>
      </c>
      <c r="B38" s="132">
        <v>206.6</v>
      </c>
      <c r="C38" s="132">
        <v>32.523000000000003</v>
      </c>
      <c r="D38" s="132">
        <v>38.279899999999998</v>
      </c>
      <c r="E38" s="132">
        <v>37.363100000000003</v>
      </c>
      <c r="F38" s="112">
        <v>33350.769999999997</v>
      </c>
      <c r="G38" s="112">
        <v>15.53</v>
      </c>
      <c r="H38" s="112"/>
    </row>
    <row r="39" spans="1:8" ht="15" x14ac:dyDescent="0.2">
      <c r="A39" s="112" t="s">
        <v>121</v>
      </c>
      <c r="B39" s="132">
        <v>110.95</v>
      </c>
      <c r="C39" s="132">
        <v>29.9666</v>
      </c>
      <c r="D39" s="132">
        <v>35.987699999999997</v>
      </c>
      <c r="E39" s="132">
        <v>35.095999999999997</v>
      </c>
      <c r="F39" s="112">
        <v>18847.009999999998</v>
      </c>
      <c r="G39" s="112">
        <v>12.41</v>
      </c>
      <c r="H39" s="112"/>
    </row>
    <row r="40" spans="1:8" ht="15" x14ac:dyDescent="0.2">
      <c r="A40" s="112" t="s">
        <v>122</v>
      </c>
      <c r="B40" s="132">
        <v>58.95</v>
      </c>
      <c r="C40" s="132">
        <v>27.416</v>
      </c>
      <c r="D40" s="132">
        <v>33.301400000000001</v>
      </c>
      <c r="E40" s="132">
        <v>32.383400000000002</v>
      </c>
      <c r="F40" s="112">
        <v>9269.2900000000009</v>
      </c>
      <c r="G40" s="112">
        <v>10.35</v>
      </c>
      <c r="H40" s="112"/>
    </row>
    <row r="41" spans="1:8" ht="15" x14ac:dyDescent="0.2">
      <c r="A41" s="112" t="s">
        <v>123</v>
      </c>
      <c r="B41" s="132">
        <v>1623.6</v>
      </c>
      <c r="C41" s="132">
        <v>29.330200000000001</v>
      </c>
      <c r="D41" s="132">
        <v>37.085799999999999</v>
      </c>
      <c r="E41" s="132">
        <v>39.4499</v>
      </c>
      <c r="F41" s="112">
        <v>44585.78</v>
      </c>
      <c r="G41" s="112">
        <v>33.409999999999997</v>
      </c>
      <c r="H41" s="112"/>
    </row>
    <row r="42" spans="1:8" ht="15" x14ac:dyDescent="0.2">
      <c r="A42" s="112" t="s">
        <v>124</v>
      </c>
      <c r="B42" s="132">
        <v>771.6</v>
      </c>
      <c r="C42" s="132">
        <v>26.5246</v>
      </c>
      <c r="D42" s="132">
        <v>35.855400000000003</v>
      </c>
      <c r="E42" s="132">
        <v>38.136299999999999</v>
      </c>
      <c r="F42" s="112">
        <v>50547.63</v>
      </c>
      <c r="G42" s="112">
        <v>22.36</v>
      </c>
      <c r="H42" s="112"/>
    </row>
    <row r="43" spans="1:8" ht="15" x14ac:dyDescent="0.2">
      <c r="A43" s="112" t="s">
        <v>125</v>
      </c>
      <c r="B43" s="132">
        <v>329.76</v>
      </c>
      <c r="C43" s="132">
        <v>23.828299999999999</v>
      </c>
      <c r="D43" s="132">
        <v>34.762300000000003</v>
      </c>
      <c r="E43" s="132">
        <v>36.9664</v>
      </c>
      <c r="F43" s="112">
        <v>33778.93</v>
      </c>
      <c r="G43" s="112">
        <v>16.77</v>
      </c>
      <c r="H43" s="112"/>
    </row>
    <row r="44" spans="1:8" ht="15" x14ac:dyDescent="0.2">
      <c r="A44" s="112" t="s">
        <v>126</v>
      </c>
      <c r="B44" s="132">
        <v>131.22</v>
      </c>
      <c r="C44" s="132">
        <v>21.584900000000001</v>
      </c>
      <c r="D44" s="132">
        <v>33.320099999999996</v>
      </c>
      <c r="E44" s="132">
        <v>34.764400000000002</v>
      </c>
      <c r="F44" s="112">
        <v>20733.009999999998</v>
      </c>
      <c r="G44" s="112">
        <v>13.29</v>
      </c>
      <c r="H44" s="112"/>
    </row>
    <row r="45" spans="1:8" ht="15" x14ac:dyDescent="0.2">
      <c r="A45" s="112" t="s">
        <v>127</v>
      </c>
      <c r="B45" s="132">
        <v>190.7</v>
      </c>
      <c r="C45" s="132">
        <v>31.4068</v>
      </c>
      <c r="D45" s="132">
        <v>36.774000000000001</v>
      </c>
      <c r="E45" s="132">
        <v>36.878599999999999</v>
      </c>
      <c r="F45" s="112">
        <v>10453.43</v>
      </c>
      <c r="G45" s="112">
        <v>6.03</v>
      </c>
      <c r="H45" s="112"/>
    </row>
    <row r="46" spans="1:8" ht="15" x14ac:dyDescent="0.2">
      <c r="A46" s="112" t="s">
        <v>128</v>
      </c>
      <c r="B46" s="132">
        <v>97</v>
      </c>
      <c r="C46" s="132">
        <v>28.593399999999999</v>
      </c>
      <c r="D46" s="132">
        <v>33.861199999999997</v>
      </c>
      <c r="E46" s="132">
        <v>33.564700000000002</v>
      </c>
      <c r="F46" s="112">
        <v>8162.86</v>
      </c>
      <c r="G46" s="112">
        <v>4.03</v>
      </c>
      <c r="H46" s="112"/>
    </row>
    <row r="47" spans="1:8" ht="15" x14ac:dyDescent="0.2">
      <c r="A47" s="112" t="s">
        <v>129</v>
      </c>
      <c r="B47" s="132">
        <v>43.2</v>
      </c>
      <c r="C47" s="132">
        <v>25.925899999999999</v>
      </c>
      <c r="D47" s="132">
        <v>31.04</v>
      </c>
      <c r="E47" s="132">
        <v>31.290500000000002</v>
      </c>
      <c r="F47" s="112">
        <v>5935.31</v>
      </c>
      <c r="G47" s="112">
        <v>3.1</v>
      </c>
      <c r="H47" s="112"/>
    </row>
    <row r="48" spans="1:8" ht="15" x14ac:dyDescent="0.2">
      <c r="A48" s="112" t="s">
        <v>130</v>
      </c>
      <c r="B48" s="132">
        <v>17.350000000000001</v>
      </c>
      <c r="C48" s="132">
        <v>23.803899999999999</v>
      </c>
      <c r="D48" s="132">
        <v>29.146000000000001</v>
      </c>
      <c r="E48" s="132">
        <v>29.582999999999998</v>
      </c>
      <c r="F48" s="112">
        <v>3497.21</v>
      </c>
      <c r="G48" s="112">
        <v>2.33</v>
      </c>
      <c r="H48" s="112"/>
    </row>
    <row r="49" spans="1:8" ht="15" x14ac:dyDescent="0.2">
      <c r="A49" s="112" t="s">
        <v>131</v>
      </c>
      <c r="B49" s="132">
        <v>368.64</v>
      </c>
      <c r="C49" s="132">
        <v>29.693300000000001</v>
      </c>
      <c r="D49" s="132">
        <v>36.756</v>
      </c>
      <c r="E49" s="132">
        <v>37.469900000000003</v>
      </c>
      <c r="F49" s="112">
        <v>12512.8</v>
      </c>
      <c r="G49" s="112">
        <v>5.35</v>
      </c>
      <c r="H49" s="112"/>
    </row>
    <row r="50" spans="1:8" ht="15" x14ac:dyDescent="0.2">
      <c r="A50" s="112" t="s">
        <v>132</v>
      </c>
      <c r="B50" s="132">
        <v>178.38</v>
      </c>
      <c r="C50" s="132">
        <v>26.790500000000002</v>
      </c>
      <c r="D50" s="132">
        <v>34.734299999999998</v>
      </c>
      <c r="E50" s="132">
        <v>35.113700000000001</v>
      </c>
      <c r="F50" s="112">
        <v>9255.0300000000007</v>
      </c>
      <c r="G50" s="112">
        <v>4.57</v>
      </c>
      <c r="H50" s="112"/>
    </row>
    <row r="51" spans="1:8" ht="15" x14ac:dyDescent="0.2">
      <c r="A51" s="112" t="s">
        <v>133</v>
      </c>
      <c r="B51" s="132">
        <v>81.66</v>
      </c>
      <c r="C51" s="132">
        <v>24.106300000000001</v>
      </c>
      <c r="D51" s="132">
        <v>32.350900000000003</v>
      </c>
      <c r="E51" s="132">
        <v>32.672800000000002</v>
      </c>
      <c r="F51" s="112">
        <v>6970.14</v>
      </c>
      <c r="G51" s="112">
        <v>3.53</v>
      </c>
      <c r="H51" s="112"/>
    </row>
    <row r="52" spans="1:8" ht="15" x14ac:dyDescent="0.2">
      <c r="A52" s="112" t="s">
        <v>134</v>
      </c>
      <c r="B52" s="132">
        <v>36.119999999999997</v>
      </c>
      <c r="C52" s="132">
        <v>21.901599999999998</v>
      </c>
      <c r="D52" s="132">
        <v>30.3308</v>
      </c>
      <c r="E52" s="132">
        <v>30.7729</v>
      </c>
      <c r="F52" s="112">
        <v>4801.74</v>
      </c>
      <c r="G52" s="112">
        <v>2.68</v>
      </c>
      <c r="H52" s="112"/>
    </row>
    <row r="53" spans="1:8" ht="15" x14ac:dyDescent="0.2">
      <c r="A53" s="112" t="s">
        <v>135</v>
      </c>
      <c r="B53" s="132">
        <v>600.85</v>
      </c>
      <c r="C53" s="132">
        <v>26.250499999999999</v>
      </c>
      <c r="D53" s="132">
        <v>33.611899999999999</v>
      </c>
      <c r="E53" s="132">
        <v>34.027000000000001</v>
      </c>
      <c r="F53" s="112">
        <v>12100.81</v>
      </c>
      <c r="G53" s="112">
        <v>7.35</v>
      </c>
      <c r="H53" s="112"/>
    </row>
    <row r="54" spans="1:8" ht="15" x14ac:dyDescent="0.2">
      <c r="A54" s="112" t="s">
        <v>136</v>
      </c>
      <c r="B54" s="132">
        <v>232.15</v>
      </c>
      <c r="C54" s="132">
        <v>23.306100000000001</v>
      </c>
      <c r="D54" s="132">
        <v>31.5748</v>
      </c>
      <c r="E54" s="132">
        <v>31.6936</v>
      </c>
      <c r="F54" s="112">
        <v>10642.21</v>
      </c>
      <c r="G54" s="112">
        <v>5.48</v>
      </c>
      <c r="H54" s="112"/>
    </row>
    <row r="55" spans="1:8" ht="15" x14ac:dyDescent="0.2">
      <c r="A55" s="112" t="s">
        <v>137</v>
      </c>
      <c r="B55" s="132">
        <v>74.650000000000006</v>
      </c>
      <c r="C55" s="132">
        <v>21.119700000000002</v>
      </c>
      <c r="D55" s="132">
        <v>29.764900000000001</v>
      </c>
      <c r="E55" s="132">
        <v>30.061699999999998</v>
      </c>
      <c r="F55" s="112">
        <v>9010.57</v>
      </c>
      <c r="G55" s="112">
        <v>4.2699999999999996</v>
      </c>
      <c r="H55" s="112"/>
    </row>
    <row r="56" spans="1:8" ht="15" x14ac:dyDescent="0.2">
      <c r="A56" s="112" t="s">
        <v>138</v>
      </c>
      <c r="B56" s="132">
        <v>28.6</v>
      </c>
      <c r="C56" s="132">
        <v>19.8965</v>
      </c>
      <c r="D56" s="132">
        <v>28.116</v>
      </c>
      <c r="E56" s="132">
        <v>28.158999999999999</v>
      </c>
      <c r="F56" s="112">
        <v>7001.07</v>
      </c>
      <c r="G56" s="112">
        <v>3.25</v>
      </c>
      <c r="H56" s="112"/>
    </row>
    <row r="57" spans="1:8" ht="15" x14ac:dyDescent="0.2">
      <c r="A57" s="112" t="s">
        <v>139</v>
      </c>
      <c r="B57" s="132">
        <v>166.59</v>
      </c>
      <c r="C57" s="132">
        <v>28.817</v>
      </c>
      <c r="D57" s="132">
        <v>35.006500000000003</v>
      </c>
      <c r="E57" s="132">
        <v>35.967500000000001</v>
      </c>
      <c r="F57" s="112">
        <v>6258.36</v>
      </c>
      <c r="G57" s="112">
        <v>2.91</v>
      </c>
      <c r="H57" s="112"/>
    </row>
    <row r="58" spans="1:8" ht="15" x14ac:dyDescent="0.2">
      <c r="A58" s="112" t="s">
        <v>140</v>
      </c>
      <c r="B58" s="132">
        <v>82.11</v>
      </c>
      <c r="C58" s="132">
        <v>26.731100000000001</v>
      </c>
      <c r="D58" s="132">
        <v>32.890799999999999</v>
      </c>
      <c r="E58" s="132">
        <v>33.330100000000002</v>
      </c>
      <c r="F58" s="112">
        <v>4817.66</v>
      </c>
      <c r="G58" s="112">
        <v>2.31</v>
      </c>
      <c r="H58" s="112"/>
    </row>
    <row r="59" spans="1:8" ht="15" x14ac:dyDescent="0.2">
      <c r="A59" s="112" t="s">
        <v>141</v>
      </c>
      <c r="B59" s="132">
        <v>41.31</v>
      </c>
      <c r="C59" s="132">
        <v>24.712900000000001</v>
      </c>
      <c r="D59" s="132">
        <v>30.680800000000001</v>
      </c>
      <c r="E59" s="132">
        <v>30.494499999999999</v>
      </c>
      <c r="F59" s="112">
        <v>3760.17</v>
      </c>
      <c r="G59" s="112">
        <v>1.99</v>
      </c>
      <c r="H59" s="112"/>
    </row>
    <row r="60" spans="1:8" ht="15" x14ac:dyDescent="0.2">
      <c r="A60" s="112" t="s">
        <v>142</v>
      </c>
      <c r="B60" s="132">
        <v>19.29</v>
      </c>
      <c r="C60" s="132">
        <v>22.3949</v>
      </c>
      <c r="D60" s="132">
        <v>28.212599999999998</v>
      </c>
      <c r="E60" s="132">
        <v>27.8583</v>
      </c>
      <c r="F60" s="112">
        <v>2641.55</v>
      </c>
      <c r="G60" s="112">
        <v>1.59</v>
      </c>
      <c r="H60" s="112"/>
    </row>
    <row r="61" spans="1:8" x14ac:dyDescent="0.15">
      <c r="A61" s="112" t="s">
        <v>143</v>
      </c>
      <c r="B61" s="112">
        <v>599.45399999999995</v>
      </c>
      <c r="C61" s="112">
        <v>43.585000000000001</v>
      </c>
      <c r="D61" s="112">
        <v>45.275500000000001</v>
      </c>
      <c r="E61" s="112">
        <v>45.091999999999999</v>
      </c>
      <c r="F61" s="112">
        <v>2531.7800000000002</v>
      </c>
      <c r="G61" s="112">
        <v>1.27</v>
      </c>
      <c r="H61" s="112"/>
    </row>
    <row r="62" spans="1:8" x14ac:dyDescent="0.15">
      <c r="A62" s="112" t="s">
        <v>144</v>
      </c>
      <c r="B62" s="112">
        <v>359.0754</v>
      </c>
      <c r="C62" s="112">
        <v>39.990400000000001</v>
      </c>
      <c r="D62" s="112">
        <v>42.219299999999997</v>
      </c>
      <c r="E62" s="112">
        <v>41.7652</v>
      </c>
      <c r="F62" s="112">
        <v>1989.4</v>
      </c>
      <c r="G62" s="112">
        <v>0.99</v>
      </c>
      <c r="H62" s="112"/>
    </row>
    <row r="63" spans="1:8" x14ac:dyDescent="0.15">
      <c r="A63" s="112" t="s">
        <v>145</v>
      </c>
      <c r="B63" s="112">
        <v>207.51669999999999</v>
      </c>
      <c r="C63" s="112">
        <v>36.6038</v>
      </c>
      <c r="D63" s="112">
        <v>39.93</v>
      </c>
      <c r="E63" s="112">
        <v>39.265900000000002</v>
      </c>
      <c r="F63" s="112">
        <v>1520.18</v>
      </c>
      <c r="G63" s="112">
        <v>0.81</v>
      </c>
      <c r="H63" s="112"/>
    </row>
    <row r="64" spans="1:8" x14ac:dyDescent="0.15">
      <c r="A64" s="112" t="s">
        <v>146</v>
      </c>
      <c r="B64" s="112">
        <v>116.28570000000001</v>
      </c>
      <c r="C64" s="112">
        <v>33.4223</v>
      </c>
      <c r="D64" s="112">
        <v>38.235999999999997</v>
      </c>
      <c r="E64" s="112">
        <v>37.396900000000002</v>
      </c>
      <c r="F64" s="112">
        <v>981.43</v>
      </c>
      <c r="G64" s="112">
        <v>0.64</v>
      </c>
      <c r="H64" s="112"/>
    </row>
    <row r="65" spans="1:8" x14ac:dyDescent="0.15">
      <c r="A65" s="112" t="s">
        <v>147</v>
      </c>
      <c r="B65" s="112">
        <v>1545.7608</v>
      </c>
      <c r="C65" s="112">
        <v>41.915599999999998</v>
      </c>
      <c r="D65" s="112">
        <v>43.301299999999998</v>
      </c>
      <c r="E65" s="112">
        <v>44.346899999999998</v>
      </c>
      <c r="F65" s="112">
        <v>3438.06</v>
      </c>
      <c r="G65" s="112">
        <v>2.09</v>
      </c>
      <c r="H65" s="112"/>
    </row>
    <row r="66" spans="1:8" x14ac:dyDescent="0.15">
      <c r="A66" s="112" t="s">
        <v>148</v>
      </c>
      <c r="B66" s="112">
        <v>978.2296</v>
      </c>
      <c r="C66" s="112">
        <v>37.437600000000003</v>
      </c>
      <c r="D66" s="112">
        <v>40.604700000000001</v>
      </c>
      <c r="E66" s="112">
        <v>41.736400000000003</v>
      </c>
      <c r="F66" s="112">
        <v>2907.04</v>
      </c>
      <c r="G66" s="112">
        <v>1.57</v>
      </c>
      <c r="H66" s="112"/>
    </row>
    <row r="67" spans="1:8" x14ac:dyDescent="0.15">
      <c r="A67" s="112" t="s">
        <v>149</v>
      </c>
      <c r="B67" s="112">
        <v>595.38160000000005</v>
      </c>
      <c r="C67" s="112">
        <v>33.572800000000001</v>
      </c>
      <c r="D67" s="112">
        <v>39.112499999999997</v>
      </c>
      <c r="E67" s="112">
        <v>40.155299999999997</v>
      </c>
      <c r="F67" s="112">
        <v>2352.09</v>
      </c>
      <c r="G67" s="112">
        <v>1.25</v>
      </c>
      <c r="H67" s="112"/>
    </row>
    <row r="68" spans="1:8" x14ac:dyDescent="0.15">
      <c r="A68" s="112" t="s">
        <v>150</v>
      </c>
      <c r="B68" s="112">
        <v>349.3408</v>
      </c>
      <c r="C68" s="112">
        <v>30.044799999999999</v>
      </c>
      <c r="D68" s="112">
        <v>38.217100000000002</v>
      </c>
      <c r="E68" s="112">
        <v>39.002600000000001</v>
      </c>
      <c r="F68" s="112">
        <v>1827.96</v>
      </c>
      <c r="G68" s="112">
        <v>1</v>
      </c>
      <c r="H68" s="112"/>
    </row>
    <row r="69" spans="1:8" x14ac:dyDescent="0.15">
      <c r="A69" s="112" t="s">
        <v>151</v>
      </c>
      <c r="B69" s="112">
        <v>1360.9937</v>
      </c>
      <c r="C69" s="112">
        <v>41.690899999999999</v>
      </c>
      <c r="D69" s="112">
        <v>42.103099999999998</v>
      </c>
      <c r="E69" s="112">
        <v>42.919400000000003</v>
      </c>
      <c r="F69" s="112">
        <v>3262.02</v>
      </c>
      <c r="G69" s="112">
        <v>2.0099999999999998</v>
      </c>
      <c r="H69" s="112"/>
    </row>
    <row r="70" spans="1:8" x14ac:dyDescent="0.15">
      <c r="A70" s="112" t="s">
        <v>152</v>
      </c>
      <c r="B70" s="112">
        <v>846.10630000000003</v>
      </c>
      <c r="C70" s="112">
        <v>37.421199999999999</v>
      </c>
      <c r="D70" s="112">
        <v>38.988199999999999</v>
      </c>
      <c r="E70" s="112">
        <v>39.568899999999999</v>
      </c>
      <c r="F70" s="112">
        <v>2883.73</v>
      </c>
      <c r="G70" s="112">
        <v>1.6</v>
      </c>
      <c r="H70" s="112"/>
    </row>
    <row r="71" spans="1:8" x14ac:dyDescent="0.15">
      <c r="A71" s="112" t="s">
        <v>153</v>
      </c>
      <c r="B71" s="112">
        <v>484.6968</v>
      </c>
      <c r="C71" s="112">
        <v>33.4634</v>
      </c>
      <c r="D71" s="112">
        <v>36.744</v>
      </c>
      <c r="E71" s="112">
        <v>37.211300000000001</v>
      </c>
      <c r="F71" s="112">
        <v>2489.65</v>
      </c>
      <c r="G71" s="112">
        <v>1.26</v>
      </c>
      <c r="H71" s="112"/>
    </row>
    <row r="72" spans="1:8" x14ac:dyDescent="0.15">
      <c r="A72" s="112" t="s">
        <v>154</v>
      </c>
      <c r="B72" s="112">
        <v>249.0667</v>
      </c>
      <c r="C72" s="112">
        <v>29.854600000000001</v>
      </c>
      <c r="D72" s="112">
        <v>35.2149</v>
      </c>
      <c r="E72" s="112">
        <v>35.663600000000002</v>
      </c>
      <c r="F72" s="112">
        <v>1936.87</v>
      </c>
      <c r="G72" s="112">
        <v>0.93</v>
      </c>
      <c r="H72" s="112"/>
    </row>
    <row r="73" spans="1:8" x14ac:dyDescent="0.15">
      <c r="A73" s="112" t="s">
        <v>155</v>
      </c>
      <c r="B73" s="112">
        <v>525.38919999999996</v>
      </c>
      <c r="C73" s="112">
        <v>43.343499999999999</v>
      </c>
      <c r="D73" s="112">
        <v>43.033000000000001</v>
      </c>
      <c r="E73" s="112">
        <v>43.895699999999998</v>
      </c>
      <c r="F73" s="112">
        <v>1647.37</v>
      </c>
      <c r="G73" s="112">
        <v>0.87</v>
      </c>
      <c r="H73" s="112"/>
    </row>
    <row r="74" spans="1:8" x14ac:dyDescent="0.15">
      <c r="A74" s="112" t="s">
        <v>156</v>
      </c>
      <c r="B74" s="112">
        <v>330.4074</v>
      </c>
      <c r="C74" s="112">
        <v>39.615200000000002</v>
      </c>
      <c r="D74" s="112">
        <v>39.612900000000003</v>
      </c>
      <c r="E74" s="112">
        <v>40.931800000000003</v>
      </c>
      <c r="F74" s="112">
        <v>1404.23</v>
      </c>
      <c r="G74" s="112">
        <v>0.73</v>
      </c>
      <c r="H74" s="112"/>
    </row>
    <row r="75" spans="1:8" x14ac:dyDescent="0.15">
      <c r="A75" s="112" t="s">
        <v>157</v>
      </c>
      <c r="B75" s="112">
        <v>186.0087</v>
      </c>
      <c r="C75" s="112">
        <v>35.693199999999997</v>
      </c>
      <c r="D75" s="112">
        <v>37.438699999999997</v>
      </c>
      <c r="E75" s="112">
        <v>38.787100000000002</v>
      </c>
      <c r="F75" s="112">
        <v>1161.77</v>
      </c>
      <c r="G75" s="112">
        <v>0.59</v>
      </c>
      <c r="H75" s="112"/>
    </row>
    <row r="76" spans="1:8" x14ac:dyDescent="0.15">
      <c r="A76" s="112" t="s">
        <v>158</v>
      </c>
      <c r="B76" s="112">
        <v>93.714500000000001</v>
      </c>
      <c r="C76" s="112">
        <v>32.143999999999998</v>
      </c>
      <c r="D76" s="112">
        <v>35.924399999999999</v>
      </c>
      <c r="E76" s="112">
        <v>37.122999999999998</v>
      </c>
      <c r="F76" s="112">
        <v>828.76</v>
      </c>
      <c r="G76" s="112">
        <v>0.46</v>
      </c>
      <c r="H76" s="112"/>
    </row>
    <row r="77" spans="1:8" ht="15" x14ac:dyDescent="0.2">
      <c r="A77" s="112" t="s">
        <v>159</v>
      </c>
      <c r="B77" s="132">
        <v>453.3</v>
      </c>
      <c r="C77" s="132">
        <v>33.150100000000002</v>
      </c>
      <c r="D77" s="132">
        <v>40.251800000000003</v>
      </c>
      <c r="E77" s="132">
        <v>41.569400000000002</v>
      </c>
      <c r="F77" s="112">
        <v>18618.599999999999</v>
      </c>
      <c r="G77" s="112">
        <v>8.34</v>
      </c>
      <c r="H77" s="112"/>
    </row>
    <row r="78" spans="1:8" ht="15" x14ac:dyDescent="0.2">
      <c r="A78" s="112" t="s">
        <v>160</v>
      </c>
      <c r="B78" s="132">
        <v>240.18</v>
      </c>
      <c r="C78" s="132">
        <v>29.910699999999999</v>
      </c>
      <c r="D78" s="132">
        <v>37.859900000000003</v>
      </c>
      <c r="E78" s="132">
        <v>38.863900000000001</v>
      </c>
      <c r="F78" s="112">
        <v>12682.39</v>
      </c>
      <c r="G78" s="112">
        <v>7</v>
      </c>
      <c r="H78" s="112"/>
    </row>
    <row r="79" spans="1:8" ht="15" x14ac:dyDescent="0.2">
      <c r="A79" s="112" t="s">
        <v>161</v>
      </c>
      <c r="B79" s="132">
        <v>118.26</v>
      </c>
      <c r="C79" s="132">
        <v>26.932600000000001</v>
      </c>
      <c r="D79" s="132">
        <v>35.628399999999999</v>
      </c>
      <c r="E79" s="132">
        <v>36.190100000000001</v>
      </c>
      <c r="F79" s="112">
        <v>9616.5300000000007</v>
      </c>
      <c r="G79" s="112">
        <v>6.17</v>
      </c>
      <c r="H79" s="112"/>
    </row>
    <row r="80" spans="1:8" ht="15" x14ac:dyDescent="0.2">
      <c r="A80" s="112" t="s">
        <v>162</v>
      </c>
      <c r="B80" s="132">
        <v>51.3</v>
      </c>
      <c r="C80" s="132">
        <v>24.324300000000001</v>
      </c>
      <c r="D80" s="132">
        <v>33.111400000000003</v>
      </c>
      <c r="E80" s="132">
        <v>33.472700000000003</v>
      </c>
      <c r="F80" s="112">
        <v>6409.09</v>
      </c>
      <c r="G80" s="112">
        <v>5.04</v>
      </c>
      <c r="H80" s="112"/>
    </row>
    <row r="81" spans="1:8" ht="15" x14ac:dyDescent="0.2">
      <c r="A81" s="112" t="s">
        <v>163</v>
      </c>
      <c r="B81" s="132">
        <v>232.44</v>
      </c>
      <c r="C81" s="132">
        <v>35.545400000000001</v>
      </c>
      <c r="D81" s="132">
        <v>41.700499999999998</v>
      </c>
      <c r="E81" s="132">
        <v>42.7209</v>
      </c>
      <c r="F81" s="112">
        <v>14597.78</v>
      </c>
      <c r="G81" s="112">
        <v>6.59</v>
      </c>
      <c r="H81" s="112"/>
    </row>
    <row r="82" spans="1:8" ht="15" x14ac:dyDescent="0.2">
      <c r="A82" s="112" t="s">
        <v>164</v>
      </c>
      <c r="B82" s="132">
        <v>133.08000000000001</v>
      </c>
      <c r="C82" s="132">
        <v>32.938299999999998</v>
      </c>
      <c r="D82" s="132">
        <v>39.112099999999998</v>
      </c>
      <c r="E82" s="132">
        <v>40.002000000000002</v>
      </c>
      <c r="F82" s="112">
        <v>10007.51</v>
      </c>
      <c r="G82" s="112">
        <v>5.95</v>
      </c>
      <c r="H82" s="112"/>
    </row>
    <row r="83" spans="1:8" ht="15" x14ac:dyDescent="0.2">
      <c r="A83" s="112" t="s">
        <v>165</v>
      </c>
      <c r="B83" s="132">
        <v>78</v>
      </c>
      <c r="C83" s="132">
        <v>30.131499999999999</v>
      </c>
      <c r="D83" s="132">
        <v>36.680999999999997</v>
      </c>
      <c r="E83" s="132">
        <v>36.988700000000001</v>
      </c>
      <c r="F83" s="112">
        <v>6725.25</v>
      </c>
      <c r="G83" s="112">
        <v>4.93</v>
      </c>
      <c r="H83" s="112"/>
    </row>
    <row r="84" spans="1:8" ht="15" x14ac:dyDescent="0.2">
      <c r="A84" s="112" t="s">
        <v>166</v>
      </c>
      <c r="B84" s="132">
        <v>45.42</v>
      </c>
      <c r="C84" s="132">
        <v>27.296900000000001</v>
      </c>
      <c r="D84" s="132">
        <v>33.0869</v>
      </c>
      <c r="E84" s="132">
        <v>34.578400000000002</v>
      </c>
      <c r="F84" s="112">
        <v>3971.1</v>
      </c>
      <c r="G84" s="112">
        <v>4.2300000000000004</v>
      </c>
      <c r="H84" s="112"/>
    </row>
    <row r="85" spans="1:8" ht="15" x14ac:dyDescent="0.2">
      <c r="A85" s="112" t="s">
        <v>167</v>
      </c>
      <c r="B85" s="132">
        <v>325.8</v>
      </c>
      <c r="C85" s="132">
        <v>34.951999999999998</v>
      </c>
      <c r="D85" s="132">
        <v>41.219299999999997</v>
      </c>
      <c r="E85" s="132">
        <v>42.112900000000003</v>
      </c>
      <c r="F85" s="112">
        <v>15070.07</v>
      </c>
      <c r="G85" s="112">
        <v>6.88</v>
      </c>
      <c r="H85" s="112"/>
    </row>
    <row r="86" spans="1:8" ht="15" x14ac:dyDescent="0.2">
      <c r="A86" s="112" t="s">
        <v>168</v>
      </c>
      <c r="B86" s="132">
        <v>183.78</v>
      </c>
      <c r="C86" s="132">
        <v>31.761199999999999</v>
      </c>
      <c r="D86" s="132">
        <v>38.8262</v>
      </c>
      <c r="E86" s="132">
        <v>39.664400000000001</v>
      </c>
      <c r="F86" s="112">
        <v>10019</v>
      </c>
      <c r="G86" s="112">
        <v>6.24</v>
      </c>
      <c r="H86" s="112"/>
    </row>
    <row r="87" spans="1:8" ht="15" x14ac:dyDescent="0.2">
      <c r="A87" s="112" t="s">
        <v>169</v>
      </c>
      <c r="B87" s="132">
        <v>100.2</v>
      </c>
      <c r="C87" s="132">
        <v>28.7089</v>
      </c>
      <c r="D87" s="132">
        <v>35.718699999999998</v>
      </c>
      <c r="E87" s="132">
        <v>36.999899999999997</v>
      </c>
      <c r="F87" s="112">
        <v>7048.88</v>
      </c>
      <c r="G87" s="112">
        <v>5.33</v>
      </c>
      <c r="H87" s="112"/>
    </row>
    <row r="88" spans="1:8" ht="15" x14ac:dyDescent="0.2">
      <c r="A88" s="112" t="s">
        <v>170</v>
      </c>
      <c r="B88" s="132">
        <v>54.72</v>
      </c>
      <c r="C88" s="132">
        <v>25.973500000000001</v>
      </c>
      <c r="D88" s="132">
        <v>32.687100000000001</v>
      </c>
      <c r="E88" s="132">
        <v>33.7849</v>
      </c>
      <c r="F88" s="112">
        <v>4596.83</v>
      </c>
      <c r="G88" s="112">
        <v>5.09</v>
      </c>
      <c r="H88" s="112"/>
    </row>
    <row r="89" spans="1:8" x14ac:dyDescent="0.15">
      <c r="A89" s="112" t="s">
        <v>171</v>
      </c>
      <c r="B89" s="112">
        <v>2476.0515999999998</v>
      </c>
      <c r="C89" s="112">
        <v>42.741300000000003</v>
      </c>
      <c r="D89" s="112">
        <v>43.7652</v>
      </c>
      <c r="E89" s="112">
        <v>44.392699999999998</v>
      </c>
      <c r="F89" s="112">
        <v>14970.46</v>
      </c>
      <c r="G89" s="112">
        <v>5.66</v>
      </c>
      <c r="H89" s="112"/>
    </row>
    <row r="90" spans="1:8" x14ac:dyDescent="0.15">
      <c r="A90" s="112" t="s">
        <v>172</v>
      </c>
      <c r="B90" s="112">
        <v>1423.2340999999999</v>
      </c>
      <c r="C90" s="112">
        <v>39.389499999999998</v>
      </c>
      <c r="D90" s="112">
        <v>40.706899999999997</v>
      </c>
      <c r="E90" s="112">
        <v>41.096600000000002</v>
      </c>
      <c r="F90" s="112">
        <v>12594.65</v>
      </c>
      <c r="G90" s="112">
        <v>4.0599999999999996</v>
      </c>
      <c r="H90" s="112"/>
    </row>
    <row r="91" spans="1:8" x14ac:dyDescent="0.15">
      <c r="A91" s="112" t="s">
        <v>173</v>
      </c>
      <c r="B91" s="112">
        <v>816.44050000000004</v>
      </c>
      <c r="C91" s="112">
        <v>36.3093</v>
      </c>
      <c r="D91" s="112">
        <v>38.311199999999999</v>
      </c>
      <c r="E91" s="112">
        <v>38.595100000000002</v>
      </c>
      <c r="F91" s="112">
        <v>9381.67</v>
      </c>
      <c r="G91" s="112">
        <v>3.78</v>
      </c>
      <c r="H91" s="112"/>
    </row>
    <row r="92" spans="1:8" x14ac:dyDescent="0.15">
      <c r="A92" s="112" t="s">
        <v>174</v>
      </c>
      <c r="B92" s="112">
        <v>479.70400000000001</v>
      </c>
      <c r="C92" s="112">
        <v>33.451700000000002</v>
      </c>
      <c r="D92" s="112">
        <v>36.482500000000002</v>
      </c>
      <c r="E92" s="112">
        <v>36.683599999999998</v>
      </c>
      <c r="F92" s="112">
        <v>5691.02</v>
      </c>
      <c r="G92" s="112">
        <v>2.44</v>
      </c>
      <c r="H92" s="112"/>
    </row>
    <row r="93" spans="1:8" x14ac:dyDescent="0.15">
      <c r="A93" s="112" t="s">
        <v>175</v>
      </c>
      <c r="B93" s="112">
        <v>11938.480799999999</v>
      </c>
      <c r="C93" s="112">
        <v>44.4587</v>
      </c>
      <c r="D93" s="112">
        <v>44.795900000000003</v>
      </c>
      <c r="E93" s="112">
        <v>45.447600000000001</v>
      </c>
      <c r="F93" s="112">
        <v>83296.02</v>
      </c>
      <c r="G93" s="112">
        <v>35.950000000000003</v>
      </c>
      <c r="H93" s="112"/>
    </row>
    <row r="94" spans="1:8" x14ac:dyDescent="0.15">
      <c r="A94" s="112" t="s">
        <v>176</v>
      </c>
      <c r="B94" s="112">
        <v>7384.5951999999997</v>
      </c>
      <c r="C94" s="112">
        <v>41.392899999999997</v>
      </c>
      <c r="D94" s="112">
        <v>41.767400000000002</v>
      </c>
      <c r="E94" s="112">
        <v>42.277500000000003</v>
      </c>
      <c r="F94" s="112">
        <v>63072.12</v>
      </c>
      <c r="G94" s="112">
        <v>25.7</v>
      </c>
      <c r="H94" s="112"/>
    </row>
    <row r="95" spans="1:8" x14ac:dyDescent="0.15">
      <c r="A95" s="112" t="s">
        <v>177</v>
      </c>
      <c r="B95" s="112">
        <v>4230.3191999999999</v>
      </c>
      <c r="C95" s="112">
        <v>38.107799999999997</v>
      </c>
      <c r="D95" s="112">
        <v>39.505600000000001</v>
      </c>
      <c r="E95" s="112">
        <v>39.864699999999999</v>
      </c>
      <c r="F95" s="112">
        <v>47328.5</v>
      </c>
      <c r="G95" s="112">
        <v>19.38</v>
      </c>
      <c r="H95" s="112"/>
    </row>
    <row r="96" spans="1:8" x14ac:dyDescent="0.15">
      <c r="A96" s="112" t="s">
        <v>178</v>
      </c>
      <c r="B96" s="112">
        <v>2406.0320000000002</v>
      </c>
      <c r="C96" s="112">
        <v>35.013599999999997</v>
      </c>
      <c r="D96" s="112">
        <v>37.8217</v>
      </c>
      <c r="E96" s="112">
        <v>38.095599999999997</v>
      </c>
      <c r="F96" s="112">
        <v>29197.84</v>
      </c>
      <c r="G96" s="112">
        <v>15.68</v>
      </c>
      <c r="H96" s="112"/>
    </row>
    <row r="97" spans="1:8" x14ac:dyDescent="0.15">
      <c r="A97" s="112" t="s">
        <v>179</v>
      </c>
      <c r="B97" s="112">
        <v>2311.2545</v>
      </c>
      <c r="C97" s="112">
        <v>47.573500000000003</v>
      </c>
      <c r="D97" s="112">
        <v>45.1235</v>
      </c>
      <c r="E97" s="112">
        <v>45.4452</v>
      </c>
      <c r="F97" s="112">
        <v>11801.32</v>
      </c>
      <c r="G97" s="112">
        <v>6.52</v>
      </c>
      <c r="H97" s="112"/>
    </row>
    <row r="98" spans="1:8" x14ac:dyDescent="0.15">
      <c r="A98" s="112" t="s">
        <v>180</v>
      </c>
      <c r="B98" s="112">
        <v>1712.4032</v>
      </c>
      <c r="C98" s="112">
        <v>43.760599999999997</v>
      </c>
      <c r="D98" s="112">
        <v>41.235399999999998</v>
      </c>
      <c r="E98" s="112">
        <v>41.509599999999999</v>
      </c>
      <c r="F98" s="112">
        <v>10364.77</v>
      </c>
      <c r="G98" s="112">
        <v>4.99</v>
      </c>
      <c r="H98" s="112"/>
    </row>
    <row r="99" spans="1:8" x14ac:dyDescent="0.15">
      <c r="A99" s="112" t="s">
        <v>181</v>
      </c>
      <c r="B99" s="112">
        <v>1307.5112999999999</v>
      </c>
      <c r="C99" s="112">
        <v>39.380499999999998</v>
      </c>
      <c r="D99" s="112">
        <v>39.130099999999999</v>
      </c>
      <c r="E99" s="112">
        <v>39.212699999999998</v>
      </c>
      <c r="F99" s="112">
        <v>9961.8700000000008</v>
      </c>
      <c r="G99" s="112">
        <v>4.01</v>
      </c>
      <c r="H99" s="112"/>
    </row>
    <row r="100" spans="1:8" x14ac:dyDescent="0.15">
      <c r="A100" s="112" t="s">
        <v>182</v>
      </c>
      <c r="B100" s="112">
        <v>985.59950000000003</v>
      </c>
      <c r="C100" s="112">
        <v>34.548200000000001</v>
      </c>
      <c r="D100" s="112">
        <v>38.131599999999999</v>
      </c>
      <c r="E100" s="112">
        <v>37.8752</v>
      </c>
      <c r="F100" s="112">
        <v>9294.2900000000009</v>
      </c>
      <c r="G100" s="112">
        <v>3.52</v>
      </c>
      <c r="H100" s="112"/>
    </row>
    <row r="101" spans="1:8" x14ac:dyDescent="0.15">
      <c r="A101" s="112" t="s">
        <v>183</v>
      </c>
      <c r="B101" s="112">
        <v>530.7079</v>
      </c>
      <c r="C101" s="112">
        <v>51.223599999999998</v>
      </c>
      <c r="D101" s="112">
        <v>53.551299999999998</v>
      </c>
      <c r="E101" s="112">
        <v>54.528500000000001</v>
      </c>
      <c r="F101" s="112">
        <v>9194.02</v>
      </c>
      <c r="G101" s="112">
        <v>4.55</v>
      </c>
      <c r="H101" s="112"/>
    </row>
    <row r="102" spans="1:8" x14ac:dyDescent="0.15">
      <c r="A102" s="112" t="s">
        <v>184</v>
      </c>
      <c r="B102" s="112">
        <v>350.93239999999997</v>
      </c>
      <c r="C102" s="112">
        <v>47.546100000000003</v>
      </c>
      <c r="D102" s="112">
        <v>50.006</v>
      </c>
      <c r="E102" s="112">
        <v>51.207599999999999</v>
      </c>
      <c r="F102" s="112">
        <v>7011.68</v>
      </c>
      <c r="G102" s="112">
        <v>4.2300000000000004</v>
      </c>
      <c r="H102" s="112"/>
    </row>
    <row r="103" spans="1:8" x14ac:dyDescent="0.15">
      <c r="A103" s="112" t="s">
        <v>185</v>
      </c>
      <c r="B103" s="112">
        <v>235.24600000000001</v>
      </c>
      <c r="C103" s="112">
        <v>43.942500000000003</v>
      </c>
      <c r="D103" s="112">
        <v>47.354700000000001</v>
      </c>
      <c r="E103" s="112">
        <v>48.6006</v>
      </c>
      <c r="F103" s="112">
        <v>5889.04</v>
      </c>
      <c r="G103" s="112">
        <v>3.82</v>
      </c>
      <c r="H103" s="112"/>
    </row>
    <row r="104" spans="1:8" x14ac:dyDescent="0.15">
      <c r="A104" s="112" t="s">
        <v>186</v>
      </c>
      <c r="B104" s="112">
        <v>155.67750000000001</v>
      </c>
      <c r="C104" s="112">
        <v>40.192799999999998</v>
      </c>
      <c r="D104" s="112">
        <v>45.403599999999997</v>
      </c>
      <c r="E104" s="112">
        <v>46.7485</v>
      </c>
      <c r="F104" s="112">
        <v>4684.0600000000004</v>
      </c>
      <c r="G104" s="112">
        <v>3.28</v>
      </c>
      <c r="H104" s="112"/>
    </row>
    <row r="105" spans="1:8" x14ac:dyDescent="0.15">
      <c r="A105" s="112" t="s">
        <v>187</v>
      </c>
      <c r="B105" s="112">
        <v>19345.331399999999</v>
      </c>
      <c r="C105" s="112">
        <v>49.416600000000003</v>
      </c>
      <c r="D105" s="112">
        <v>47.951999999999998</v>
      </c>
      <c r="E105" s="112">
        <v>43.119</v>
      </c>
      <c r="F105" s="112">
        <v>101048.07</v>
      </c>
      <c r="G105" s="112">
        <v>32.97</v>
      </c>
      <c r="H105" s="112"/>
    </row>
    <row r="106" spans="1:8" x14ac:dyDescent="0.15">
      <c r="A106" s="112" t="s">
        <v>188</v>
      </c>
      <c r="B106" s="112">
        <v>5636.5183999999999</v>
      </c>
      <c r="C106" s="112">
        <v>48.107399999999998</v>
      </c>
      <c r="D106" s="112">
        <v>46.118499999999997</v>
      </c>
      <c r="E106" s="112">
        <v>41.515799999999999</v>
      </c>
      <c r="F106" s="112">
        <v>41460.04</v>
      </c>
      <c r="G106" s="112">
        <v>24.41</v>
      </c>
      <c r="H106" s="112"/>
    </row>
    <row r="107" spans="1:8" x14ac:dyDescent="0.15">
      <c r="A107" s="112" t="s">
        <v>189</v>
      </c>
      <c r="B107" s="112">
        <v>3161.5329999999999</v>
      </c>
      <c r="C107" s="112">
        <v>46.873100000000001</v>
      </c>
      <c r="D107" s="112">
        <v>44.528500000000001</v>
      </c>
      <c r="E107" s="112">
        <v>40.627299999999998</v>
      </c>
      <c r="F107" s="112">
        <v>17015.32</v>
      </c>
      <c r="G107" s="112">
        <v>23.09</v>
      </c>
      <c r="H107" s="112"/>
    </row>
    <row r="108" spans="1:8" x14ac:dyDescent="0.15">
      <c r="A108" s="112" t="s">
        <v>190</v>
      </c>
      <c r="B108" s="112">
        <v>1891.4692</v>
      </c>
      <c r="C108" s="112">
        <v>45.79</v>
      </c>
      <c r="D108" s="112">
        <v>43.240400000000001</v>
      </c>
      <c r="E108" s="112">
        <v>39.433999999999997</v>
      </c>
      <c r="F108" s="112">
        <v>5915.64</v>
      </c>
      <c r="G108" s="112">
        <v>20.49</v>
      </c>
      <c r="H108" s="112"/>
    </row>
    <row r="109" spans="1:8" x14ac:dyDescent="0.15">
      <c r="A109" s="112" t="s">
        <v>191</v>
      </c>
      <c r="B109" s="112">
        <v>15738.5211</v>
      </c>
      <c r="C109" s="112">
        <v>49.531999999999996</v>
      </c>
      <c r="D109" s="112">
        <v>50.048099999999998</v>
      </c>
      <c r="E109" s="112">
        <v>46.04</v>
      </c>
      <c r="F109" s="112">
        <v>66349.850000000006</v>
      </c>
      <c r="G109" s="112">
        <v>32.64</v>
      </c>
      <c r="H109" s="112"/>
    </row>
    <row r="110" spans="1:8" x14ac:dyDescent="0.15">
      <c r="A110" s="112" t="s">
        <v>192</v>
      </c>
      <c r="B110" s="112">
        <v>8609.3194999999996</v>
      </c>
      <c r="C110" s="112">
        <v>47.268900000000002</v>
      </c>
      <c r="D110" s="112">
        <v>47.684600000000003</v>
      </c>
      <c r="E110" s="112">
        <v>44.0745</v>
      </c>
      <c r="F110" s="112">
        <v>32005.51</v>
      </c>
      <c r="G110" s="112">
        <v>28.53</v>
      </c>
      <c r="H110" s="112"/>
    </row>
    <row r="111" spans="1:8" x14ac:dyDescent="0.15">
      <c r="A111" s="112" t="s">
        <v>193</v>
      </c>
      <c r="B111" s="112">
        <v>5134.5457999999999</v>
      </c>
      <c r="C111" s="112">
        <v>45.431199999999997</v>
      </c>
      <c r="D111" s="112">
        <v>45.748100000000001</v>
      </c>
      <c r="E111" s="112">
        <v>41.995199999999997</v>
      </c>
      <c r="F111" s="112">
        <v>19331.11</v>
      </c>
      <c r="G111" s="112">
        <v>25.53</v>
      </c>
      <c r="H111" s="112"/>
    </row>
    <row r="112" spans="1:8" x14ac:dyDescent="0.15">
      <c r="A112" s="112" t="s">
        <v>194</v>
      </c>
      <c r="B112" s="112">
        <v>3053.1552999999999</v>
      </c>
      <c r="C112" s="112">
        <v>44.019100000000002</v>
      </c>
      <c r="D112" s="112">
        <v>44.244999999999997</v>
      </c>
      <c r="E112" s="112">
        <v>39.615000000000002</v>
      </c>
      <c r="F112" s="112">
        <v>9293.5300000000007</v>
      </c>
      <c r="G112" s="112">
        <v>22.98</v>
      </c>
      <c r="H112" s="112"/>
    </row>
    <row r="113" spans="1:8" x14ac:dyDescent="0.15">
      <c r="A113" s="112" t="s">
        <v>195</v>
      </c>
      <c r="B113" s="112">
        <v>23410.125800000002</v>
      </c>
      <c r="C113" s="112">
        <v>44.232700000000001</v>
      </c>
      <c r="D113" s="112">
        <v>43.620899999999999</v>
      </c>
      <c r="E113" s="112">
        <v>43.563400000000001</v>
      </c>
      <c r="F113" s="112">
        <v>93038.44</v>
      </c>
      <c r="G113" s="112">
        <v>47.86</v>
      </c>
      <c r="H113" s="112"/>
    </row>
    <row r="114" spans="1:8" x14ac:dyDescent="0.15">
      <c r="A114" s="112" t="s">
        <v>196</v>
      </c>
      <c r="B114" s="112">
        <v>10529.1497</v>
      </c>
      <c r="C114" s="112">
        <v>40.652500000000003</v>
      </c>
      <c r="D114" s="112">
        <v>41.368000000000002</v>
      </c>
      <c r="E114" s="112">
        <v>40.266500000000001</v>
      </c>
      <c r="F114" s="112">
        <v>62168.07</v>
      </c>
      <c r="G114" s="112">
        <v>35.07</v>
      </c>
      <c r="H114" s="112"/>
    </row>
    <row r="115" spans="1:8" x14ac:dyDescent="0.15">
      <c r="A115" s="112" t="s">
        <v>197</v>
      </c>
      <c r="B115" s="112">
        <v>3829.8679000000002</v>
      </c>
      <c r="C115" s="112">
        <v>38.279200000000003</v>
      </c>
      <c r="D115" s="112">
        <v>39.777500000000003</v>
      </c>
      <c r="E115" s="112">
        <v>37.887500000000003</v>
      </c>
      <c r="F115" s="112">
        <v>37171.379999999997</v>
      </c>
      <c r="G115" s="112">
        <v>26.01</v>
      </c>
      <c r="H115" s="112"/>
    </row>
    <row r="116" spans="1:8" x14ac:dyDescent="0.15">
      <c r="A116" s="112" t="s">
        <v>198</v>
      </c>
      <c r="B116" s="112">
        <v>2057.6091999999999</v>
      </c>
      <c r="C116" s="112">
        <v>36.638300000000001</v>
      </c>
      <c r="D116" s="112">
        <v>38.579300000000003</v>
      </c>
      <c r="E116" s="112">
        <v>36.509</v>
      </c>
      <c r="F116" s="112">
        <v>17471.32</v>
      </c>
      <c r="G116" s="112">
        <v>21.61</v>
      </c>
      <c r="H116" s="112"/>
    </row>
    <row r="117" spans="1:8" x14ac:dyDescent="0.15">
      <c r="A117" s="112" t="s">
        <v>199</v>
      </c>
      <c r="B117" s="112">
        <v>34961.823199999999</v>
      </c>
      <c r="C117" s="112">
        <v>42.511800000000001</v>
      </c>
      <c r="D117" s="112">
        <v>44.075299999999999</v>
      </c>
      <c r="E117" s="112">
        <v>42.728000000000002</v>
      </c>
      <c r="F117" s="112">
        <v>102181.19</v>
      </c>
      <c r="G117" s="112">
        <v>44.07</v>
      </c>
      <c r="H117" s="112"/>
    </row>
    <row r="118" spans="1:8" x14ac:dyDescent="0.15">
      <c r="A118" s="112" t="s">
        <v>200</v>
      </c>
      <c r="B118" s="112">
        <v>11224.8758</v>
      </c>
      <c r="C118" s="112">
        <v>41.296500000000002</v>
      </c>
      <c r="D118" s="112">
        <v>42.292700000000004</v>
      </c>
      <c r="E118" s="112">
        <v>40.346899999999998</v>
      </c>
      <c r="F118" s="112">
        <v>57084.52</v>
      </c>
      <c r="G118" s="112">
        <v>32.85</v>
      </c>
      <c r="H118" s="112"/>
    </row>
    <row r="119" spans="1:8" x14ac:dyDescent="0.15">
      <c r="A119" s="112" t="s">
        <v>201</v>
      </c>
      <c r="B119" s="112">
        <v>6526.5347000000002</v>
      </c>
      <c r="C119" s="112">
        <v>40.406500000000001</v>
      </c>
      <c r="D119" s="112">
        <v>40.801299999999998</v>
      </c>
      <c r="E119" s="112">
        <v>39.021099999999997</v>
      </c>
      <c r="F119" s="112">
        <v>31538.76</v>
      </c>
      <c r="G119" s="112">
        <v>27.8</v>
      </c>
      <c r="H119" s="112"/>
    </row>
    <row r="120" spans="1:8" x14ac:dyDescent="0.15">
      <c r="A120" s="112" t="s">
        <v>202</v>
      </c>
      <c r="B120" s="112">
        <v>3914.9463000000001</v>
      </c>
      <c r="C120" s="112">
        <v>39.602600000000002</v>
      </c>
      <c r="D120" s="112">
        <v>39.581499999999998</v>
      </c>
      <c r="E120" s="112">
        <v>37.322899999999997</v>
      </c>
      <c r="F120" s="112">
        <v>16408.28</v>
      </c>
      <c r="G120" s="112">
        <v>23.78</v>
      </c>
      <c r="H120" s="112"/>
    </row>
    <row r="121" spans="1:8" x14ac:dyDescent="0.15">
      <c r="A121" s="112" t="s">
        <v>203</v>
      </c>
      <c r="B121" s="112">
        <v>56455.852099999996</v>
      </c>
      <c r="C121" s="112">
        <v>45.959200000000003</v>
      </c>
      <c r="D121" s="112">
        <v>44.067399999999999</v>
      </c>
      <c r="E121" s="112">
        <v>42.361899999999999</v>
      </c>
      <c r="F121" s="112">
        <v>130203.62</v>
      </c>
      <c r="G121" s="112">
        <v>50.93</v>
      </c>
      <c r="H121" s="112"/>
    </row>
    <row r="122" spans="1:8" x14ac:dyDescent="0.15">
      <c r="A122" s="112" t="s">
        <v>204</v>
      </c>
      <c r="B122" s="112">
        <v>11402.673199999999</v>
      </c>
      <c r="C122" s="112">
        <v>44.603400000000001</v>
      </c>
      <c r="D122" s="112">
        <v>42.417400000000001</v>
      </c>
      <c r="E122" s="112">
        <v>38.938800000000001</v>
      </c>
      <c r="F122" s="112">
        <v>74398.81</v>
      </c>
      <c r="G122" s="112">
        <v>30.84</v>
      </c>
      <c r="H122" s="112"/>
    </row>
    <row r="123" spans="1:8" x14ac:dyDescent="0.15">
      <c r="A123" s="112" t="s">
        <v>205</v>
      </c>
      <c r="B123" s="112">
        <v>6157.1337000000003</v>
      </c>
      <c r="C123" s="112">
        <v>43.418300000000002</v>
      </c>
      <c r="D123" s="112">
        <v>41.084899999999998</v>
      </c>
      <c r="E123" s="112">
        <v>37.881100000000004</v>
      </c>
      <c r="F123" s="112">
        <v>37090.29</v>
      </c>
      <c r="G123" s="112">
        <v>26.21</v>
      </c>
      <c r="H123" s="112"/>
    </row>
    <row r="124" spans="1:8" x14ac:dyDescent="0.15">
      <c r="A124" s="112" t="s">
        <v>206</v>
      </c>
      <c r="B124" s="112">
        <v>3436.4195</v>
      </c>
      <c r="C124" s="112">
        <v>42.457599999999999</v>
      </c>
      <c r="D124" s="112">
        <v>40.063200000000002</v>
      </c>
      <c r="E124" s="112">
        <v>36.489600000000003</v>
      </c>
      <c r="F124" s="112">
        <v>18431.72</v>
      </c>
      <c r="G124" s="112">
        <v>21.27</v>
      </c>
      <c r="H124" s="112"/>
    </row>
    <row r="125" spans="1:8" x14ac:dyDescent="0.15">
      <c r="A125" s="112" t="s">
        <v>207</v>
      </c>
      <c r="B125" s="112">
        <v>52029.675000000003</v>
      </c>
      <c r="C125" s="112">
        <v>40.768500000000003</v>
      </c>
      <c r="D125" s="112">
        <v>41.186900000000001</v>
      </c>
      <c r="E125" s="112">
        <v>43.991799999999998</v>
      </c>
      <c r="F125" s="112">
        <v>106546.72</v>
      </c>
      <c r="G125" s="112">
        <v>45.94</v>
      </c>
      <c r="H125" s="112"/>
    </row>
    <row r="126" spans="1:8" x14ac:dyDescent="0.15">
      <c r="A126" s="112" t="s">
        <v>208</v>
      </c>
      <c r="B126" s="112">
        <v>29779.9987</v>
      </c>
      <c r="C126" s="112">
        <v>36.987299999999998</v>
      </c>
      <c r="D126" s="112">
        <v>37.856999999999999</v>
      </c>
      <c r="E126" s="112">
        <v>40.313800000000001</v>
      </c>
      <c r="F126" s="112">
        <v>74410.320000000007</v>
      </c>
      <c r="G126" s="112">
        <v>39.71</v>
      </c>
      <c r="H126" s="112"/>
    </row>
    <row r="127" spans="1:8" x14ac:dyDescent="0.15">
      <c r="A127" s="112" t="s">
        <v>209</v>
      </c>
      <c r="B127" s="112">
        <v>16712.255300000001</v>
      </c>
      <c r="C127" s="112">
        <v>34.398200000000003</v>
      </c>
      <c r="D127" s="112">
        <v>35.562399999999997</v>
      </c>
      <c r="E127" s="112">
        <v>37.370800000000003</v>
      </c>
      <c r="F127" s="112">
        <v>54285.35</v>
      </c>
      <c r="G127" s="112">
        <v>34.22</v>
      </c>
      <c r="H127" s="112"/>
    </row>
    <row r="128" spans="1:8" x14ac:dyDescent="0.15">
      <c r="A128" s="112" t="s">
        <v>210</v>
      </c>
      <c r="B128" s="112">
        <v>9165.9367999999995</v>
      </c>
      <c r="C128" s="112">
        <v>32.650700000000001</v>
      </c>
      <c r="D128" s="112">
        <v>34.016599999999997</v>
      </c>
      <c r="E128" s="112">
        <v>34.852899999999998</v>
      </c>
      <c r="F128" s="112">
        <v>33278.839999999997</v>
      </c>
      <c r="G128" s="112">
        <v>29.04</v>
      </c>
      <c r="H128" s="112"/>
    </row>
    <row r="129" spans="1:8" x14ac:dyDescent="0.15">
      <c r="A129" s="112" t="s">
        <v>211</v>
      </c>
      <c r="B129" s="112">
        <v>10526.5272</v>
      </c>
      <c r="C129" s="112">
        <v>45.022300000000001</v>
      </c>
      <c r="D129" s="112">
        <v>45.448599999999999</v>
      </c>
      <c r="E129" s="112">
        <v>43.4696</v>
      </c>
      <c r="F129" s="112">
        <v>53941.3</v>
      </c>
      <c r="G129" s="112">
        <v>19.190000000000001</v>
      </c>
      <c r="H129" s="112"/>
    </row>
    <row r="130" spans="1:8" x14ac:dyDescent="0.15">
      <c r="A130" s="112" t="s">
        <v>212</v>
      </c>
      <c r="B130" s="112">
        <v>5609.0983999999999</v>
      </c>
      <c r="C130" s="112">
        <v>42.706699999999998</v>
      </c>
      <c r="D130" s="112">
        <v>43.517099999999999</v>
      </c>
      <c r="E130" s="112">
        <v>40.874299999999998</v>
      </c>
      <c r="F130" s="112">
        <v>35925.97</v>
      </c>
      <c r="G130" s="112">
        <v>16.940000000000001</v>
      </c>
      <c r="H130" s="112"/>
    </row>
    <row r="131" spans="1:8" x14ac:dyDescent="0.15">
      <c r="A131" s="112" t="s">
        <v>213</v>
      </c>
      <c r="B131" s="112">
        <v>3093.5336000000002</v>
      </c>
      <c r="C131" s="112">
        <v>41.084200000000003</v>
      </c>
      <c r="D131" s="112">
        <v>42.148000000000003</v>
      </c>
      <c r="E131" s="112">
        <v>38.417400000000001</v>
      </c>
      <c r="F131" s="112">
        <v>23815.41</v>
      </c>
      <c r="G131" s="112">
        <v>13.98</v>
      </c>
      <c r="H131" s="112"/>
    </row>
    <row r="132" spans="1:8" x14ac:dyDescent="0.15">
      <c r="A132" s="112" t="s">
        <v>214</v>
      </c>
      <c r="B132" s="112">
        <v>1641.2575999999999</v>
      </c>
      <c r="C132" s="112">
        <v>39.983400000000003</v>
      </c>
      <c r="D132" s="112">
        <v>41.090800000000002</v>
      </c>
      <c r="E132" s="112">
        <v>35.8598</v>
      </c>
      <c r="F132" s="112">
        <v>13490.15</v>
      </c>
      <c r="G132" s="112">
        <v>12.17</v>
      </c>
      <c r="H132" s="112"/>
    </row>
    <row r="133" spans="1:8" x14ac:dyDescent="0.15">
      <c r="A133" s="112" t="s">
        <v>215</v>
      </c>
      <c r="B133" s="112">
        <v>6087.4120000000003</v>
      </c>
      <c r="C133" s="112">
        <v>47.999299999999998</v>
      </c>
      <c r="D133" s="112">
        <v>48.732799999999997</v>
      </c>
      <c r="E133" s="112">
        <v>46.584299999999999</v>
      </c>
      <c r="F133" s="112">
        <v>36383.21</v>
      </c>
      <c r="G133" s="112">
        <v>19.63</v>
      </c>
      <c r="H133" s="112"/>
    </row>
    <row r="134" spans="1:8" x14ac:dyDescent="0.15">
      <c r="A134" s="112" t="s">
        <v>216</v>
      </c>
      <c r="B134" s="112">
        <v>3675.232</v>
      </c>
      <c r="C134" s="112">
        <v>45.505299999999998</v>
      </c>
      <c r="D134" s="112">
        <v>46.082999999999998</v>
      </c>
      <c r="E134" s="112">
        <v>43.923400000000001</v>
      </c>
      <c r="F134" s="112">
        <v>24879.55</v>
      </c>
      <c r="G134" s="112">
        <v>16.739999999999998</v>
      </c>
      <c r="H134" s="112"/>
    </row>
    <row r="135" spans="1:8" x14ac:dyDescent="0.15">
      <c r="A135" s="112" t="s">
        <v>217</v>
      </c>
      <c r="B135" s="112">
        <v>2078.7487999999998</v>
      </c>
      <c r="C135" s="112">
        <v>43.630899999999997</v>
      </c>
      <c r="D135" s="112">
        <v>44.062199999999997</v>
      </c>
      <c r="E135" s="112">
        <v>41.128900000000002</v>
      </c>
      <c r="F135" s="112">
        <v>17196.63</v>
      </c>
      <c r="G135" s="112">
        <v>13.95</v>
      </c>
      <c r="H135" s="112"/>
    </row>
    <row r="136" spans="1:8" x14ac:dyDescent="0.15">
      <c r="A136" s="112" t="s">
        <v>218</v>
      </c>
      <c r="B136" s="112">
        <v>1141.3</v>
      </c>
      <c r="C136" s="112">
        <v>42.3093</v>
      </c>
      <c r="D136" s="112">
        <v>42.559100000000001</v>
      </c>
      <c r="E136" s="112">
        <v>38.402900000000002</v>
      </c>
      <c r="F136" s="112">
        <v>9631.58</v>
      </c>
      <c r="G136" s="112">
        <v>11.18</v>
      </c>
      <c r="H136" s="112"/>
    </row>
    <row r="137" spans="1:8" x14ac:dyDescent="0.15">
      <c r="A137" s="112" t="s">
        <v>219</v>
      </c>
      <c r="B137" s="112">
        <v>12654.1944</v>
      </c>
      <c r="C137" s="112">
        <v>41.672400000000003</v>
      </c>
      <c r="D137" s="112">
        <v>44.164999999999999</v>
      </c>
      <c r="E137" s="112">
        <v>41.623699999999999</v>
      </c>
      <c r="F137" s="112">
        <v>59355.33</v>
      </c>
      <c r="G137" s="112">
        <v>22.92</v>
      </c>
      <c r="H137" s="112"/>
    </row>
    <row r="138" spans="1:8" x14ac:dyDescent="0.15">
      <c r="A138" s="112" t="s">
        <v>220</v>
      </c>
      <c r="B138" s="112">
        <v>5475.0810000000001</v>
      </c>
      <c r="C138" s="112">
        <v>39.412799999999997</v>
      </c>
      <c r="D138" s="112">
        <v>42.122599999999998</v>
      </c>
      <c r="E138" s="112">
        <v>38.908900000000003</v>
      </c>
      <c r="F138" s="112">
        <v>39956.370000000003</v>
      </c>
      <c r="G138" s="112">
        <v>17.53</v>
      </c>
      <c r="H138" s="112"/>
    </row>
    <row r="139" spans="1:8" x14ac:dyDescent="0.15">
      <c r="A139" s="112" t="s">
        <v>221</v>
      </c>
      <c r="B139" s="112">
        <v>2952.8476000000001</v>
      </c>
      <c r="C139" s="112">
        <v>38.405299999999997</v>
      </c>
      <c r="D139" s="112">
        <v>40.525599999999997</v>
      </c>
      <c r="E139" s="112">
        <v>36.9711</v>
      </c>
      <c r="F139" s="112">
        <v>25400.82</v>
      </c>
      <c r="G139" s="112">
        <v>14.02</v>
      </c>
      <c r="H139" s="112"/>
    </row>
    <row r="140" spans="1:8" x14ac:dyDescent="0.15">
      <c r="A140" s="112" t="s">
        <v>222</v>
      </c>
      <c r="B140" s="112">
        <v>1598.6619000000001</v>
      </c>
      <c r="C140" s="112">
        <v>37.610799999999998</v>
      </c>
      <c r="D140" s="112">
        <v>39.295699999999997</v>
      </c>
      <c r="E140" s="112">
        <v>34.858400000000003</v>
      </c>
      <c r="F140" s="112">
        <v>14923.87</v>
      </c>
      <c r="G140" s="112">
        <v>11.46</v>
      </c>
      <c r="H140" s="112"/>
    </row>
    <row r="141" spans="1:8" x14ac:dyDescent="0.15">
      <c r="A141" s="112" t="s">
        <v>223</v>
      </c>
      <c r="B141" s="112">
        <v>7969.9840999999997</v>
      </c>
      <c r="C141" s="112">
        <v>44.589500000000001</v>
      </c>
      <c r="D141" s="112">
        <v>46.350900000000003</v>
      </c>
      <c r="E141" s="112">
        <v>47.651400000000002</v>
      </c>
      <c r="F141" s="112">
        <v>50987.48</v>
      </c>
      <c r="G141" s="112">
        <v>20.04</v>
      </c>
      <c r="H141" s="112"/>
    </row>
    <row r="142" spans="1:8" x14ac:dyDescent="0.15">
      <c r="A142" s="112" t="s">
        <v>224</v>
      </c>
      <c r="B142" s="112">
        <v>3352.1976</v>
      </c>
      <c r="C142" s="112">
        <v>43.218600000000002</v>
      </c>
      <c r="D142" s="112">
        <v>44.283799999999999</v>
      </c>
      <c r="E142" s="112">
        <v>40.187899999999999</v>
      </c>
      <c r="F142" s="112">
        <v>33350.769999999997</v>
      </c>
      <c r="G142" s="112">
        <v>15.53</v>
      </c>
      <c r="H142" s="112"/>
    </row>
    <row r="143" spans="1:8" x14ac:dyDescent="0.15">
      <c r="A143" s="112" t="s">
        <v>225</v>
      </c>
      <c r="B143" s="112">
        <v>1695.9381000000001</v>
      </c>
      <c r="C143" s="112">
        <v>41.9574</v>
      </c>
      <c r="D143" s="112">
        <v>42.476700000000001</v>
      </c>
      <c r="E143" s="112">
        <v>38.500999999999998</v>
      </c>
      <c r="F143" s="112">
        <v>18847.009999999998</v>
      </c>
      <c r="G143" s="112">
        <v>12.41</v>
      </c>
      <c r="H143" s="112"/>
    </row>
    <row r="144" spans="1:8" x14ac:dyDescent="0.15">
      <c r="A144" s="112" t="s">
        <v>226</v>
      </c>
      <c r="B144" s="112">
        <v>946.93020000000001</v>
      </c>
      <c r="C144" s="112">
        <v>40.905999999999999</v>
      </c>
      <c r="D144" s="112">
        <v>41.044699999999999</v>
      </c>
      <c r="E144" s="112">
        <v>36.750500000000002</v>
      </c>
      <c r="F144" s="112">
        <v>9269.2900000000009</v>
      </c>
      <c r="G144" s="112">
        <v>10.35</v>
      </c>
      <c r="H144" s="112"/>
    </row>
    <row r="145" spans="1:8" x14ac:dyDescent="0.15">
      <c r="A145" s="112" t="s">
        <v>227</v>
      </c>
      <c r="B145" s="112">
        <v>21139.173599999998</v>
      </c>
      <c r="C145" s="112">
        <v>42.760399999999997</v>
      </c>
      <c r="D145" s="112">
        <v>44.570500000000003</v>
      </c>
      <c r="E145" s="112">
        <v>42.848599999999998</v>
      </c>
      <c r="F145" s="112">
        <v>44585.78</v>
      </c>
      <c r="G145" s="112">
        <v>33.409999999999997</v>
      </c>
      <c r="H145" s="112"/>
    </row>
    <row r="146" spans="1:8" x14ac:dyDescent="0.15">
      <c r="A146" s="112" t="s">
        <v>228</v>
      </c>
      <c r="B146" s="112">
        <v>8384.9536000000007</v>
      </c>
      <c r="C146" s="112">
        <v>40.9285</v>
      </c>
      <c r="D146" s="112">
        <v>43.180799999999998</v>
      </c>
      <c r="E146" s="112">
        <v>38.2164</v>
      </c>
      <c r="F146" s="112">
        <v>50547.63</v>
      </c>
      <c r="G146" s="112">
        <v>22.36</v>
      </c>
      <c r="H146" s="112"/>
    </row>
    <row r="147" spans="1:8" x14ac:dyDescent="0.15">
      <c r="A147" s="112" t="s">
        <v>229</v>
      </c>
      <c r="B147" s="112">
        <v>4167.4319999999998</v>
      </c>
      <c r="C147" s="112">
        <v>39.576700000000002</v>
      </c>
      <c r="D147" s="112">
        <v>42.1554</v>
      </c>
      <c r="E147" s="112">
        <v>35.94</v>
      </c>
      <c r="F147" s="112">
        <v>33778.93</v>
      </c>
      <c r="G147" s="112">
        <v>16.77</v>
      </c>
      <c r="H147" s="112"/>
    </row>
    <row r="148" spans="1:8" x14ac:dyDescent="0.15">
      <c r="A148" s="112" t="s">
        <v>230</v>
      </c>
      <c r="B148" s="112">
        <v>2189.1368000000002</v>
      </c>
      <c r="C148" s="112">
        <v>38.645000000000003</v>
      </c>
      <c r="D148" s="112">
        <v>41.399000000000001</v>
      </c>
      <c r="E148" s="112">
        <v>47.651400000000002</v>
      </c>
      <c r="F148" s="112">
        <v>20733.009999999998</v>
      </c>
      <c r="G148" s="112">
        <v>13.29</v>
      </c>
      <c r="H148" s="112"/>
    </row>
    <row r="149" spans="1:8" x14ac:dyDescent="0.15">
      <c r="A149" s="115" t="s">
        <v>231</v>
      </c>
      <c r="B149" s="115">
        <v>29328.799999999999</v>
      </c>
      <c r="C149" s="115">
        <v>45.1631</v>
      </c>
      <c r="D149" s="115">
        <v>46.451999999999998</v>
      </c>
      <c r="E149" s="115">
        <v>47.651400000000002</v>
      </c>
      <c r="F149" s="112">
        <v>10453.43</v>
      </c>
      <c r="G149" s="112">
        <v>6.03</v>
      </c>
      <c r="H149" s="112"/>
    </row>
    <row r="150" spans="1:8" x14ac:dyDescent="0.15">
      <c r="A150" s="115" t="s">
        <v>232</v>
      </c>
      <c r="B150" s="115">
        <v>15431.6</v>
      </c>
      <c r="C150" s="115">
        <v>41.675899999999999</v>
      </c>
      <c r="D150" s="115">
        <v>44.579599999999999</v>
      </c>
      <c r="E150" s="115">
        <v>45.7515</v>
      </c>
      <c r="F150" s="112">
        <v>8162.86</v>
      </c>
      <c r="G150" s="112">
        <v>4.03</v>
      </c>
      <c r="H150" s="112"/>
    </row>
    <row r="151" spans="1:8" x14ac:dyDescent="0.15">
      <c r="A151" s="115" t="s">
        <v>233</v>
      </c>
      <c r="B151" s="115">
        <v>8179.6</v>
      </c>
      <c r="C151" s="115">
        <v>38.5991</v>
      </c>
      <c r="D151" s="115">
        <v>42.344000000000001</v>
      </c>
      <c r="E151" s="115">
        <v>43.406500000000001</v>
      </c>
      <c r="F151" s="112">
        <v>5935.31</v>
      </c>
      <c r="G151" s="112">
        <v>3.1</v>
      </c>
      <c r="H151" s="112"/>
    </row>
    <row r="152" spans="1:8" x14ac:dyDescent="0.15">
      <c r="A152" s="115" t="s">
        <v>234</v>
      </c>
      <c r="B152" s="115">
        <v>4338.3999999999996</v>
      </c>
      <c r="C152" s="115">
        <v>35.8645</v>
      </c>
      <c r="D152" s="115">
        <v>40.104700000000001</v>
      </c>
      <c r="E152" s="115">
        <v>40.803699999999999</v>
      </c>
      <c r="F152" s="112">
        <v>3497.21</v>
      </c>
      <c r="G152" s="112">
        <v>2.33</v>
      </c>
      <c r="H152" s="112"/>
    </row>
    <row r="153" spans="1:8" x14ac:dyDescent="0.15">
      <c r="A153" s="112" t="s">
        <v>235</v>
      </c>
      <c r="B153" s="112">
        <v>2679.1024000000002</v>
      </c>
      <c r="C153" s="112">
        <v>44.162100000000002</v>
      </c>
      <c r="D153" s="112">
        <v>45.737900000000003</v>
      </c>
      <c r="E153" s="112">
        <v>43.125799999999998</v>
      </c>
      <c r="F153" s="112">
        <v>12512.8</v>
      </c>
      <c r="G153" s="112">
        <v>5.35</v>
      </c>
      <c r="H153" s="112"/>
    </row>
    <row r="154" spans="1:8" x14ac:dyDescent="0.15">
      <c r="A154" s="112" t="s">
        <v>236</v>
      </c>
      <c r="B154" s="112">
        <v>1615.9784</v>
      </c>
      <c r="C154" s="112">
        <v>41.861899999999999</v>
      </c>
      <c r="D154" s="112">
        <v>43.190199999999997</v>
      </c>
      <c r="E154" s="112">
        <v>40.454500000000003</v>
      </c>
      <c r="F154" s="112">
        <v>9255.0300000000007</v>
      </c>
      <c r="G154" s="112">
        <v>4.57</v>
      </c>
      <c r="H154" s="112"/>
    </row>
    <row r="155" spans="1:8" x14ac:dyDescent="0.15">
      <c r="A155" s="112" t="s">
        <v>237</v>
      </c>
      <c r="B155" s="112">
        <v>953.67439999999999</v>
      </c>
      <c r="C155" s="112">
        <v>40.0824</v>
      </c>
      <c r="D155" s="112">
        <v>41.253700000000002</v>
      </c>
      <c r="E155" s="112">
        <v>37.689399999999999</v>
      </c>
      <c r="F155" s="112">
        <v>6970.14</v>
      </c>
      <c r="G155" s="112">
        <v>3.53</v>
      </c>
      <c r="H155" s="112"/>
    </row>
    <row r="156" spans="1:8" x14ac:dyDescent="0.15">
      <c r="A156" s="112" t="s">
        <v>238</v>
      </c>
      <c r="B156" s="112">
        <v>545.14480000000003</v>
      </c>
      <c r="C156" s="112">
        <v>38.717500000000001</v>
      </c>
      <c r="D156" s="112">
        <v>39.782600000000002</v>
      </c>
      <c r="E156" s="112">
        <v>34.863</v>
      </c>
      <c r="F156" s="112">
        <v>4801.74</v>
      </c>
      <c r="G156" s="112">
        <v>2.68</v>
      </c>
      <c r="H156" s="112"/>
    </row>
    <row r="157" spans="1:8" x14ac:dyDescent="0.15">
      <c r="A157" s="112" t="s">
        <v>239</v>
      </c>
      <c r="B157" s="112">
        <v>5226.3618999999999</v>
      </c>
      <c r="C157" s="112">
        <v>42.530099999999997</v>
      </c>
      <c r="D157" s="112">
        <v>43.549100000000003</v>
      </c>
      <c r="E157" s="112">
        <v>42.116900000000001</v>
      </c>
      <c r="F157" s="112">
        <v>12100.81</v>
      </c>
      <c r="G157" s="112">
        <v>7.35</v>
      </c>
      <c r="H157" s="112"/>
    </row>
    <row r="158" spans="1:8" x14ac:dyDescent="0.15">
      <c r="A158" s="112" t="s">
        <v>240</v>
      </c>
      <c r="B158" s="112">
        <v>3234.5230000000001</v>
      </c>
      <c r="C158" s="112">
        <v>39.316200000000002</v>
      </c>
      <c r="D158" s="112">
        <v>40.171399999999998</v>
      </c>
      <c r="E158" s="112">
        <v>38.0824</v>
      </c>
      <c r="F158" s="112">
        <v>10642.21</v>
      </c>
      <c r="G158" s="112">
        <v>5.48</v>
      </c>
      <c r="H158" s="112"/>
    </row>
    <row r="159" spans="1:8" x14ac:dyDescent="0.15">
      <c r="A159" s="112" t="s">
        <v>241</v>
      </c>
      <c r="B159" s="112">
        <v>1927.8683000000001</v>
      </c>
      <c r="C159" s="112">
        <v>37.156399999999998</v>
      </c>
      <c r="D159" s="112">
        <v>37.9041</v>
      </c>
      <c r="E159" s="112">
        <v>34.6357</v>
      </c>
      <c r="F159" s="112">
        <v>9010.57</v>
      </c>
      <c r="G159" s="112">
        <v>4.2699999999999996</v>
      </c>
      <c r="H159" s="112"/>
    </row>
    <row r="160" spans="1:8" x14ac:dyDescent="0.15">
      <c r="A160" s="112" t="s">
        <v>242</v>
      </c>
      <c r="B160" s="112">
        <v>1045.7325000000001</v>
      </c>
      <c r="C160" s="112">
        <v>35.712499999999999</v>
      </c>
      <c r="D160" s="112">
        <v>36.440100000000001</v>
      </c>
      <c r="E160" s="112">
        <v>31.2864</v>
      </c>
      <c r="F160" s="112">
        <v>7001.07</v>
      </c>
      <c r="G160" s="112">
        <v>3.25</v>
      </c>
      <c r="H160" s="112"/>
    </row>
    <row r="161" spans="1:8" x14ac:dyDescent="0.15">
      <c r="A161" s="112" t="s">
        <v>243</v>
      </c>
      <c r="B161" s="112">
        <v>1776.0220999999999</v>
      </c>
      <c r="C161" s="112">
        <v>43.5199</v>
      </c>
      <c r="D161" s="112">
        <v>44.346400000000003</v>
      </c>
      <c r="E161" s="112">
        <v>43.237099999999998</v>
      </c>
      <c r="F161" s="112">
        <v>6258.36</v>
      </c>
      <c r="G161" s="112">
        <v>2.91</v>
      </c>
      <c r="H161" s="112"/>
    </row>
    <row r="162" spans="1:8" x14ac:dyDescent="0.15">
      <c r="A162" s="112" t="s">
        <v>244</v>
      </c>
      <c r="B162" s="112">
        <v>1087.0461</v>
      </c>
      <c r="C162" s="112">
        <v>40.1629</v>
      </c>
      <c r="D162" s="112">
        <v>41.576300000000003</v>
      </c>
      <c r="E162" s="112">
        <v>39.976799999999997</v>
      </c>
      <c r="F162" s="112">
        <v>4817.66</v>
      </c>
      <c r="G162" s="112">
        <v>2.31</v>
      </c>
      <c r="H162" s="112"/>
    </row>
    <row r="163" spans="1:8" x14ac:dyDescent="0.15">
      <c r="A163" s="112" t="s">
        <v>245</v>
      </c>
      <c r="B163" s="112">
        <v>628.1558</v>
      </c>
      <c r="C163" s="112">
        <v>37.834800000000001</v>
      </c>
      <c r="D163" s="112">
        <v>39.757599999999996</v>
      </c>
      <c r="E163" s="112">
        <v>36.838500000000003</v>
      </c>
      <c r="F163" s="112">
        <v>3760.17</v>
      </c>
      <c r="G163" s="112">
        <v>1.99</v>
      </c>
      <c r="H163" s="112"/>
    </row>
    <row r="164" spans="1:8" x14ac:dyDescent="0.15">
      <c r="A164" s="112" t="s">
        <v>246</v>
      </c>
      <c r="B164" s="112">
        <v>322.73840000000001</v>
      </c>
      <c r="C164" s="112">
        <v>36.414200000000001</v>
      </c>
      <c r="D164" s="112">
        <v>38.409300000000002</v>
      </c>
      <c r="E164" s="112">
        <v>33.649099999999997</v>
      </c>
      <c r="F164" s="112">
        <v>2641.55</v>
      </c>
      <c r="G164" s="112">
        <v>1.59</v>
      </c>
      <c r="H164" s="112"/>
    </row>
    <row r="165" spans="1:8" x14ac:dyDescent="0.15">
      <c r="A165" s="112" t="s">
        <v>247</v>
      </c>
      <c r="B165" s="112">
        <v>599.45399999999995</v>
      </c>
      <c r="C165" s="112">
        <v>45.275500000000001</v>
      </c>
      <c r="D165" s="112">
        <v>45.091999999999999</v>
      </c>
      <c r="E165" s="112">
        <v>43.984299999999998</v>
      </c>
      <c r="F165" s="112">
        <v>2531.7800000000002</v>
      </c>
      <c r="G165" s="112">
        <v>1.27</v>
      </c>
      <c r="H165" s="112"/>
    </row>
    <row r="166" spans="1:8" x14ac:dyDescent="0.15">
      <c r="A166" s="112" t="s">
        <v>248</v>
      </c>
      <c r="B166" s="112">
        <v>359.0754</v>
      </c>
      <c r="C166" s="112">
        <v>42.219299999999997</v>
      </c>
      <c r="D166" s="112">
        <v>41.7652</v>
      </c>
      <c r="E166" s="112">
        <v>40.479199999999999</v>
      </c>
      <c r="F166" s="112">
        <v>1989.4</v>
      </c>
      <c r="G166" s="112">
        <v>0.99</v>
      </c>
      <c r="H166" s="112"/>
    </row>
    <row r="167" spans="1:8" x14ac:dyDescent="0.15">
      <c r="A167" s="112" t="s">
        <v>249</v>
      </c>
      <c r="B167" s="112">
        <v>207.51669999999999</v>
      </c>
      <c r="C167" s="112">
        <v>39.93</v>
      </c>
      <c r="D167" s="112">
        <v>39.265900000000002</v>
      </c>
      <c r="E167" s="112">
        <v>37.300600000000003</v>
      </c>
      <c r="F167" s="112">
        <v>1520.18</v>
      </c>
      <c r="G167" s="112">
        <v>0.81</v>
      </c>
      <c r="H167" s="112"/>
    </row>
    <row r="168" spans="1:8" x14ac:dyDescent="0.15">
      <c r="A168" s="112" t="s">
        <v>250</v>
      </c>
      <c r="B168" s="112">
        <v>116.28570000000001</v>
      </c>
      <c r="C168" s="112">
        <v>38.235999999999997</v>
      </c>
      <c r="D168" s="112">
        <v>37.396900000000002</v>
      </c>
      <c r="E168" s="112">
        <v>34.362699999999997</v>
      </c>
      <c r="F168" s="112">
        <v>981.43</v>
      </c>
      <c r="G168" s="112">
        <v>0.64</v>
      </c>
      <c r="H168" s="112"/>
    </row>
    <row r="169" spans="1:8" x14ac:dyDescent="0.15">
      <c r="A169" s="112" t="s">
        <v>251</v>
      </c>
      <c r="B169" s="112">
        <v>1545.7608</v>
      </c>
      <c r="C169" s="112">
        <v>43.301299999999998</v>
      </c>
      <c r="D169" s="112">
        <v>44.346899999999998</v>
      </c>
      <c r="E169" s="112">
        <v>42.450800000000001</v>
      </c>
      <c r="F169" s="112">
        <v>3438.06</v>
      </c>
      <c r="G169" s="112">
        <v>2.09</v>
      </c>
      <c r="H169" s="112"/>
    </row>
    <row r="170" spans="1:8" x14ac:dyDescent="0.15">
      <c r="A170" s="112" t="s">
        <v>252</v>
      </c>
      <c r="B170" s="112">
        <v>978.2296</v>
      </c>
      <c r="C170" s="112">
        <v>40.604700000000001</v>
      </c>
      <c r="D170" s="112">
        <v>41.736400000000003</v>
      </c>
      <c r="E170" s="112">
        <v>38.351799999999997</v>
      </c>
      <c r="F170" s="112">
        <v>2907.04</v>
      </c>
      <c r="G170" s="112">
        <v>1.57</v>
      </c>
      <c r="H170" s="112"/>
    </row>
    <row r="171" spans="1:8" x14ac:dyDescent="0.15">
      <c r="A171" s="112" t="s">
        <v>253</v>
      </c>
      <c r="B171" s="112">
        <v>595.38160000000005</v>
      </c>
      <c r="C171" s="112">
        <v>39.112499999999997</v>
      </c>
      <c r="D171" s="112">
        <v>40.155299999999997</v>
      </c>
      <c r="E171" s="112">
        <v>34.817500000000003</v>
      </c>
      <c r="F171" s="112">
        <v>2352.09</v>
      </c>
      <c r="G171" s="112">
        <v>1.25</v>
      </c>
      <c r="H171" s="112"/>
    </row>
    <row r="172" spans="1:8" x14ac:dyDescent="0.15">
      <c r="A172" s="112" t="s">
        <v>254</v>
      </c>
      <c r="B172" s="112">
        <v>349.3408</v>
      </c>
      <c r="C172" s="112">
        <v>38.217100000000002</v>
      </c>
      <c r="D172" s="112">
        <v>39.002600000000001</v>
      </c>
      <c r="E172" s="112">
        <v>31.499700000000001</v>
      </c>
      <c r="F172" s="112">
        <v>1827.96</v>
      </c>
      <c r="G172" s="112">
        <v>1</v>
      </c>
      <c r="H172" s="112"/>
    </row>
    <row r="173" spans="1:8" x14ac:dyDescent="0.15">
      <c r="A173" s="112" t="s">
        <v>255</v>
      </c>
      <c r="B173" s="112">
        <v>1360.9937</v>
      </c>
      <c r="C173" s="112">
        <v>42.103099999999998</v>
      </c>
      <c r="D173" s="112">
        <v>42.919400000000003</v>
      </c>
      <c r="E173" s="112">
        <v>41.9375</v>
      </c>
      <c r="F173" s="112">
        <v>3262.02</v>
      </c>
      <c r="G173" s="112">
        <v>2.0099999999999998</v>
      </c>
      <c r="H173" s="112"/>
    </row>
    <row r="174" spans="1:8" x14ac:dyDescent="0.15">
      <c r="A174" s="112" t="s">
        <v>256</v>
      </c>
      <c r="B174" s="112">
        <v>846.10630000000003</v>
      </c>
      <c r="C174" s="112">
        <v>38.988199999999999</v>
      </c>
      <c r="D174" s="112">
        <v>39.568899999999999</v>
      </c>
      <c r="E174" s="112">
        <v>37.942900000000002</v>
      </c>
      <c r="F174" s="112">
        <v>2883.73</v>
      </c>
      <c r="G174" s="112">
        <v>1.6</v>
      </c>
      <c r="H174" s="112"/>
    </row>
    <row r="175" spans="1:8" x14ac:dyDescent="0.15">
      <c r="A175" s="112" t="s">
        <v>257</v>
      </c>
      <c r="B175" s="112">
        <v>484.6968</v>
      </c>
      <c r="C175" s="112">
        <v>36.744</v>
      </c>
      <c r="D175" s="112">
        <v>37.211300000000001</v>
      </c>
      <c r="E175" s="112">
        <v>34.329599999999999</v>
      </c>
      <c r="F175" s="112">
        <v>2489.65</v>
      </c>
      <c r="G175" s="112">
        <v>1.26</v>
      </c>
      <c r="H175" s="112"/>
    </row>
    <row r="176" spans="1:8" x14ac:dyDescent="0.15">
      <c r="A176" s="112" t="s">
        <v>258</v>
      </c>
      <c r="B176" s="112">
        <v>249.0667</v>
      </c>
      <c r="C176" s="112">
        <v>35.2149</v>
      </c>
      <c r="D176" s="112">
        <v>35.663600000000002</v>
      </c>
      <c r="E176" s="112">
        <v>31.0168</v>
      </c>
      <c r="F176" s="112">
        <v>1936.87</v>
      </c>
      <c r="G176" s="112">
        <v>0.93</v>
      </c>
      <c r="H176" s="112"/>
    </row>
    <row r="177" spans="1:8" x14ac:dyDescent="0.15">
      <c r="A177" s="112" t="s">
        <v>259</v>
      </c>
      <c r="B177" s="112">
        <v>525.38919999999996</v>
      </c>
      <c r="C177" s="112">
        <v>43.033000000000001</v>
      </c>
      <c r="D177" s="112">
        <v>43.895699999999998</v>
      </c>
      <c r="E177" s="112">
        <v>43.346400000000003</v>
      </c>
      <c r="F177" s="112">
        <v>1647.37</v>
      </c>
      <c r="G177" s="112">
        <v>0.87</v>
      </c>
      <c r="H177" s="112"/>
    </row>
    <row r="178" spans="1:8" x14ac:dyDescent="0.15">
      <c r="A178" s="112" t="s">
        <v>260</v>
      </c>
      <c r="B178" s="112">
        <v>330.4074</v>
      </c>
      <c r="C178" s="112">
        <v>39.612900000000003</v>
      </c>
      <c r="D178" s="112">
        <v>40.931800000000003</v>
      </c>
      <c r="E178" s="112">
        <v>39.740099999999998</v>
      </c>
      <c r="F178" s="112">
        <v>1404.23</v>
      </c>
      <c r="G178" s="112">
        <v>0.73</v>
      </c>
      <c r="H178" s="112"/>
    </row>
    <row r="179" spans="1:8" x14ac:dyDescent="0.15">
      <c r="A179" s="112" t="s">
        <v>261</v>
      </c>
      <c r="B179" s="112">
        <v>186.0087</v>
      </c>
      <c r="C179" s="112">
        <v>37.438699999999997</v>
      </c>
      <c r="D179" s="112">
        <v>38.787100000000002</v>
      </c>
      <c r="E179" s="112">
        <v>36.242199999999997</v>
      </c>
      <c r="F179" s="112">
        <v>1161.77</v>
      </c>
      <c r="G179" s="112">
        <v>0.59</v>
      </c>
      <c r="H179" s="112"/>
    </row>
    <row r="180" spans="1:8" x14ac:dyDescent="0.15">
      <c r="A180" s="112" t="s">
        <v>262</v>
      </c>
      <c r="B180" s="112">
        <v>93.714500000000001</v>
      </c>
      <c r="C180" s="112">
        <v>35.924399999999999</v>
      </c>
      <c r="D180" s="112">
        <v>37.122999999999998</v>
      </c>
      <c r="E180" s="112">
        <v>33.034100000000002</v>
      </c>
      <c r="F180" s="112">
        <v>828.76</v>
      </c>
      <c r="G180" s="112">
        <v>0.46</v>
      </c>
      <c r="H180" s="112"/>
    </row>
    <row r="181" spans="1:8" x14ac:dyDescent="0.15">
      <c r="A181" s="112" t="s">
        <v>263</v>
      </c>
      <c r="B181" s="112">
        <v>3391.7192</v>
      </c>
      <c r="C181" s="112">
        <v>47.256</v>
      </c>
      <c r="D181" s="112">
        <v>48.4848</v>
      </c>
      <c r="E181" s="112">
        <v>45.338299999999997</v>
      </c>
      <c r="F181" s="112">
        <v>18618.599999999999</v>
      </c>
      <c r="G181" s="112">
        <v>8.34</v>
      </c>
      <c r="H181" s="112"/>
    </row>
    <row r="182" spans="1:8" x14ac:dyDescent="0.15">
      <c r="A182" s="112" t="s">
        <v>264</v>
      </c>
      <c r="B182" s="112">
        <v>2085.3256000000001</v>
      </c>
      <c r="C182" s="112">
        <v>44.997399999999999</v>
      </c>
      <c r="D182" s="112">
        <v>46.3322</v>
      </c>
      <c r="E182" s="112">
        <v>42.9666</v>
      </c>
      <c r="F182" s="112">
        <v>12682.39</v>
      </c>
      <c r="G182" s="112">
        <v>7</v>
      </c>
      <c r="H182" s="112"/>
    </row>
    <row r="183" spans="1:8" x14ac:dyDescent="0.15">
      <c r="A183" s="112" t="s">
        <v>265</v>
      </c>
      <c r="B183" s="112">
        <v>1291.6880000000001</v>
      </c>
      <c r="C183" s="112">
        <v>43.1965</v>
      </c>
      <c r="D183" s="112">
        <v>44.488900000000001</v>
      </c>
      <c r="E183" s="112">
        <v>40.3705</v>
      </c>
      <c r="F183" s="112">
        <v>9616.5300000000007</v>
      </c>
      <c r="G183" s="112">
        <v>6.17</v>
      </c>
      <c r="H183" s="112"/>
    </row>
    <row r="184" spans="1:8" x14ac:dyDescent="0.15">
      <c r="A184" s="112" t="s">
        <v>266</v>
      </c>
      <c r="B184" s="112">
        <v>786.77919999999995</v>
      </c>
      <c r="C184" s="112">
        <v>41.852699999999999</v>
      </c>
      <c r="D184" s="112">
        <v>43.0749</v>
      </c>
      <c r="E184" s="112">
        <v>37.502200000000002</v>
      </c>
      <c r="F184" s="112">
        <v>6409.09</v>
      </c>
      <c r="G184" s="112">
        <v>5.04</v>
      </c>
      <c r="H184" s="112"/>
    </row>
    <row r="185" spans="1:8" x14ac:dyDescent="0.15">
      <c r="A185" s="112" t="s">
        <v>267</v>
      </c>
      <c r="B185" s="112">
        <v>2283.7984000000001</v>
      </c>
      <c r="C185" s="112">
        <v>48.585700000000003</v>
      </c>
      <c r="D185" s="112">
        <v>49.295099999999998</v>
      </c>
      <c r="E185" s="112">
        <v>45.648800000000001</v>
      </c>
      <c r="F185" s="112">
        <v>14597.78</v>
      </c>
      <c r="G185" s="112">
        <v>6.59</v>
      </c>
      <c r="H185" s="112"/>
    </row>
    <row r="186" spans="1:8" x14ac:dyDescent="0.15">
      <c r="A186" s="112" t="s">
        <v>268</v>
      </c>
      <c r="B186" s="112">
        <v>1314.0216</v>
      </c>
      <c r="C186" s="112">
        <v>46.689100000000003</v>
      </c>
      <c r="D186" s="112">
        <v>47.459699999999998</v>
      </c>
      <c r="E186" s="112">
        <v>43.7331</v>
      </c>
      <c r="F186" s="112">
        <v>10007.51</v>
      </c>
      <c r="G186" s="112">
        <v>5.95</v>
      </c>
      <c r="H186" s="112"/>
    </row>
    <row r="187" spans="1:8" x14ac:dyDescent="0.15">
      <c r="A187" s="112" t="s">
        <v>269</v>
      </c>
      <c r="B187" s="112">
        <v>740.57680000000005</v>
      </c>
      <c r="C187" s="112">
        <v>44.988700000000001</v>
      </c>
      <c r="D187" s="112">
        <v>45.697000000000003</v>
      </c>
      <c r="E187" s="112">
        <v>41.5565</v>
      </c>
      <c r="F187" s="112">
        <v>6725.25</v>
      </c>
      <c r="G187" s="112">
        <v>4.93</v>
      </c>
      <c r="H187" s="112"/>
    </row>
    <row r="188" spans="1:8" x14ac:dyDescent="0.15">
      <c r="A188" s="112" t="s">
        <v>270</v>
      </c>
      <c r="B188" s="112">
        <v>427.33199999999999</v>
      </c>
      <c r="C188" s="112">
        <v>43.504300000000001</v>
      </c>
      <c r="D188" s="112">
        <v>44.240900000000003</v>
      </c>
      <c r="E188" s="112">
        <v>39.216200000000001</v>
      </c>
      <c r="F188" s="112">
        <v>3971.1</v>
      </c>
      <c r="G188" s="112">
        <v>4.2300000000000004</v>
      </c>
      <c r="H188" s="112"/>
    </row>
    <row r="189" spans="1:8" x14ac:dyDescent="0.15">
      <c r="A189" s="112" t="s">
        <v>271</v>
      </c>
      <c r="B189" s="112">
        <v>2484.6768000000002</v>
      </c>
      <c r="C189" s="112">
        <v>47.9343</v>
      </c>
      <c r="D189" s="112">
        <v>48.837499999999999</v>
      </c>
      <c r="E189" s="112">
        <v>45.871600000000001</v>
      </c>
      <c r="F189" s="112">
        <v>15070.07</v>
      </c>
      <c r="G189" s="112">
        <v>6.88</v>
      </c>
      <c r="H189" s="112"/>
    </row>
    <row r="190" spans="1:8" x14ac:dyDescent="0.15">
      <c r="A190" s="112" t="s">
        <v>272</v>
      </c>
      <c r="B190" s="112">
        <v>1528.1343999999999</v>
      </c>
      <c r="C190" s="112">
        <v>45.786900000000003</v>
      </c>
      <c r="D190" s="112">
        <v>46.839199999999998</v>
      </c>
      <c r="E190" s="112">
        <v>43.835799999999999</v>
      </c>
      <c r="F190" s="112">
        <v>10019</v>
      </c>
      <c r="G190" s="112">
        <v>6.24</v>
      </c>
      <c r="H190" s="112"/>
    </row>
    <row r="191" spans="1:8" x14ac:dyDescent="0.15">
      <c r="A191" s="112" t="s">
        <v>273</v>
      </c>
      <c r="B191" s="112">
        <v>923.41679999999997</v>
      </c>
      <c r="C191" s="112">
        <v>44.0214</v>
      </c>
      <c r="D191" s="112">
        <v>45.112299999999998</v>
      </c>
      <c r="E191" s="112">
        <v>41.474400000000003</v>
      </c>
      <c r="F191" s="112">
        <v>7048.88</v>
      </c>
      <c r="G191" s="112">
        <v>5.33</v>
      </c>
      <c r="H191" s="112"/>
    </row>
    <row r="192" spans="1:8" x14ac:dyDescent="0.15">
      <c r="A192" s="112" t="s">
        <v>274</v>
      </c>
      <c r="B192" s="112">
        <v>561.01120000000003</v>
      </c>
      <c r="C192" s="112">
        <v>42.65</v>
      </c>
      <c r="D192" s="112">
        <v>43.7346</v>
      </c>
      <c r="E192" s="112">
        <v>38.895699999999998</v>
      </c>
      <c r="F192" s="112">
        <v>4596.83</v>
      </c>
      <c r="G192" s="112">
        <v>5.09</v>
      </c>
      <c r="H192" s="112"/>
    </row>
    <row r="193" spans="1:8" x14ac:dyDescent="0.15">
      <c r="A193" s="112" t="s">
        <v>275</v>
      </c>
      <c r="B193" s="112">
        <v>2476.0515999999998</v>
      </c>
      <c r="C193" s="112">
        <v>43.7652</v>
      </c>
      <c r="D193" s="112">
        <v>44.392699999999998</v>
      </c>
      <c r="E193" s="112">
        <v>43.138800000000003</v>
      </c>
      <c r="F193" s="112">
        <v>14970.46</v>
      </c>
      <c r="G193" s="112">
        <v>5.66</v>
      </c>
      <c r="H193" s="112"/>
    </row>
    <row r="194" spans="1:8" x14ac:dyDescent="0.15">
      <c r="A194" s="112" t="s">
        <v>276</v>
      </c>
      <c r="B194" s="112">
        <v>1423.2340999999999</v>
      </c>
      <c r="C194" s="112">
        <v>40.706899999999997</v>
      </c>
      <c r="D194" s="112">
        <v>41.096600000000002</v>
      </c>
      <c r="E194" s="112">
        <v>39.832900000000002</v>
      </c>
      <c r="F194" s="112">
        <v>12594.65</v>
      </c>
      <c r="G194" s="112">
        <v>4.0599999999999996</v>
      </c>
      <c r="H194" s="112"/>
    </row>
    <row r="195" spans="1:8" x14ac:dyDescent="0.15">
      <c r="A195" s="112" t="s">
        <v>277</v>
      </c>
      <c r="B195" s="112">
        <v>816.44050000000004</v>
      </c>
      <c r="C195" s="112">
        <v>38.311199999999999</v>
      </c>
      <c r="D195" s="112">
        <v>38.595100000000002</v>
      </c>
      <c r="E195" s="112">
        <v>36.907499999999999</v>
      </c>
      <c r="F195" s="112">
        <v>9381.67</v>
      </c>
      <c r="G195" s="112">
        <v>3.78</v>
      </c>
      <c r="H195" s="112"/>
    </row>
    <row r="196" spans="1:8" x14ac:dyDescent="0.15">
      <c r="A196" s="112" t="s">
        <v>278</v>
      </c>
      <c r="B196" s="112">
        <v>479.70400000000001</v>
      </c>
      <c r="C196" s="112">
        <v>36.482500000000002</v>
      </c>
      <c r="D196" s="112">
        <v>36.683599999999998</v>
      </c>
      <c r="E196" s="112">
        <v>34.258899999999997</v>
      </c>
      <c r="F196" s="112">
        <v>5691.02</v>
      </c>
      <c r="G196" s="112">
        <v>2.44</v>
      </c>
      <c r="H196" s="112"/>
    </row>
    <row r="197" spans="1:8" x14ac:dyDescent="0.15">
      <c r="A197" s="112" t="s">
        <v>279</v>
      </c>
      <c r="B197" s="112">
        <v>11938.480799999999</v>
      </c>
      <c r="C197" s="112">
        <v>44.795900000000003</v>
      </c>
      <c r="D197" s="112">
        <v>45.447600000000001</v>
      </c>
      <c r="E197" s="112">
        <v>44.664200000000001</v>
      </c>
      <c r="F197" s="112">
        <v>83296.02</v>
      </c>
      <c r="G197" s="112">
        <v>35.950000000000003</v>
      </c>
      <c r="H197" s="112"/>
    </row>
    <row r="198" spans="1:8" x14ac:dyDescent="0.15">
      <c r="A198" s="112" t="s">
        <v>280</v>
      </c>
      <c r="B198" s="112">
        <v>7384.5951999999997</v>
      </c>
      <c r="C198" s="112">
        <v>41.767400000000002</v>
      </c>
      <c r="D198" s="112">
        <v>42.277500000000003</v>
      </c>
      <c r="E198" s="112">
        <v>41.588900000000002</v>
      </c>
      <c r="F198" s="112">
        <v>63072.12</v>
      </c>
      <c r="G198" s="112">
        <v>25.7</v>
      </c>
      <c r="H198" s="112"/>
    </row>
    <row r="199" spans="1:8" x14ac:dyDescent="0.15">
      <c r="A199" s="112" t="s">
        <v>281</v>
      </c>
      <c r="B199" s="112">
        <v>4230.3191999999999</v>
      </c>
      <c r="C199" s="112">
        <v>39.505600000000001</v>
      </c>
      <c r="D199" s="112">
        <v>39.864699999999999</v>
      </c>
      <c r="E199" s="112">
        <v>38.5702</v>
      </c>
      <c r="F199" s="112">
        <v>47328.5</v>
      </c>
      <c r="G199" s="112">
        <v>19.38</v>
      </c>
      <c r="H199" s="112"/>
    </row>
    <row r="200" spans="1:8" x14ac:dyDescent="0.15">
      <c r="A200" s="112" t="s">
        <v>282</v>
      </c>
      <c r="B200" s="112">
        <v>2406.0320000000002</v>
      </c>
      <c r="C200" s="112">
        <v>37.8217</v>
      </c>
      <c r="D200" s="112">
        <v>38.095599999999997</v>
      </c>
      <c r="E200" s="112">
        <v>35.790399999999998</v>
      </c>
      <c r="F200" s="112">
        <v>29197.84</v>
      </c>
      <c r="G200" s="112">
        <v>15.68</v>
      </c>
      <c r="H200" s="112"/>
    </row>
    <row r="201" spans="1:8" x14ac:dyDescent="0.15">
      <c r="A201" s="112" t="s">
        <v>283</v>
      </c>
      <c r="B201" s="112">
        <v>2311.2545</v>
      </c>
      <c r="C201" s="112">
        <v>45.1235</v>
      </c>
      <c r="D201" s="112">
        <v>45.4452</v>
      </c>
      <c r="E201" s="112">
        <v>46.6629</v>
      </c>
      <c r="F201" s="112">
        <v>11801.32</v>
      </c>
      <c r="G201" s="112">
        <v>6.52</v>
      </c>
      <c r="H201" s="112"/>
    </row>
    <row r="202" spans="1:8" x14ac:dyDescent="0.15">
      <c r="A202" s="112" t="s">
        <v>284</v>
      </c>
      <c r="B202" s="112">
        <v>1712.4032</v>
      </c>
      <c r="C202" s="112">
        <v>41.235399999999998</v>
      </c>
      <c r="D202" s="112">
        <v>41.509599999999999</v>
      </c>
      <c r="E202" s="112">
        <v>42.7958</v>
      </c>
      <c r="F202" s="112">
        <v>10364.77</v>
      </c>
      <c r="G202" s="112">
        <v>4.99</v>
      </c>
      <c r="H202" s="112"/>
    </row>
    <row r="203" spans="1:8" x14ac:dyDescent="0.15">
      <c r="A203" s="112" t="s">
        <v>285</v>
      </c>
      <c r="B203" s="112">
        <v>1307.5112999999999</v>
      </c>
      <c r="C203" s="112">
        <v>39.130099999999999</v>
      </c>
      <c r="D203" s="112">
        <v>39.212699999999998</v>
      </c>
      <c r="E203" s="112">
        <v>39.292000000000002</v>
      </c>
      <c r="F203" s="112">
        <v>9961.8700000000008</v>
      </c>
      <c r="G203" s="112">
        <v>4.01</v>
      </c>
      <c r="H203" s="112"/>
    </row>
    <row r="204" spans="1:8" x14ac:dyDescent="0.15">
      <c r="A204" s="112" t="s">
        <v>286</v>
      </c>
      <c r="B204" s="112">
        <v>985.59950000000003</v>
      </c>
      <c r="C204" s="112">
        <v>38.131599999999999</v>
      </c>
      <c r="D204" s="112">
        <v>37.8752</v>
      </c>
      <c r="E204" s="112">
        <v>35.404600000000002</v>
      </c>
      <c r="F204" s="112">
        <v>9294.2900000000009</v>
      </c>
      <c r="G204" s="112">
        <v>3.52</v>
      </c>
      <c r="H204" s="112"/>
    </row>
    <row r="205" spans="1:8" x14ac:dyDescent="0.15">
      <c r="A205" s="112" t="s">
        <v>287</v>
      </c>
      <c r="B205" s="112">
        <v>530.7079</v>
      </c>
      <c r="C205" s="112">
        <v>53.551299999999998</v>
      </c>
      <c r="D205" s="112">
        <v>54.528500000000001</v>
      </c>
      <c r="E205" s="112">
        <v>50.879199999999997</v>
      </c>
      <c r="F205" s="112">
        <v>9194.02</v>
      </c>
      <c r="G205" s="112">
        <v>4.55</v>
      </c>
      <c r="H205" s="112"/>
    </row>
    <row r="206" spans="1:8" x14ac:dyDescent="0.15">
      <c r="A206" s="112" t="s">
        <v>288</v>
      </c>
      <c r="B206" s="112">
        <v>350.93239999999997</v>
      </c>
      <c r="C206" s="112">
        <v>50.006</v>
      </c>
      <c r="D206" s="112">
        <v>51.207599999999999</v>
      </c>
      <c r="E206" s="112">
        <v>47.265700000000002</v>
      </c>
      <c r="F206" s="112">
        <v>7011.68</v>
      </c>
      <c r="G206" s="112">
        <v>4.2300000000000004</v>
      </c>
      <c r="H206" s="112"/>
    </row>
    <row r="207" spans="1:8" x14ac:dyDescent="0.15">
      <c r="A207" s="112" t="s">
        <v>289</v>
      </c>
      <c r="B207" s="112">
        <v>235.24600000000001</v>
      </c>
      <c r="C207" s="112">
        <v>47.354700000000001</v>
      </c>
      <c r="D207" s="112">
        <v>48.6006</v>
      </c>
      <c r="E207" s="112">
        <v>43.936</v>
      </c>
      <c r="F207" s="112">
        <v>5889.04</v>
      </c>
      <c r="G207" s="112">
        <v>3.82</v>
      </c>
      <c r="H207" s="112"/>
    </row>
    <row r="208" spans="1:8" x14ac:dyDescent="0.15">
      <c r="A208" s="112" t="s">
        <v>290</v>
      </c>
      <c r="B208" s="112">
        <v>155.67750000000001</v>
      </c>
      <c r="C208" s="112">
        <v>45.403599999999997</v>
      </c>
      <c r="D208" s="112">
        <v>46.7485</v>
      </c>
      <c r="E208" s="112">
        <v>40.531199999999998</v>
      </c>
      <c r="F208" s="112">
        <v>4684.0600000000004</v>
      </c>
      <c r="G208" s="112">
        <v>3.28</v>
      </c>
      <c r="H208" s="112"/>
    </row>
    <row r="209" spans="1:8" x14ac:dyDescent="0.15">
      <c r="A209" s="112" t="s">
        <v>291</v>
      </c>
      <c r="B209" s="113"/>
      <c r="C209" s="113"/>
      <c r="D209" s="113"/>
      <c r="E209" s="113"/>
      <c r="F209" s="113"/>
      <c r="G209" s="113"/>
      <c r="H209" s="112"/>
    </row>
    <row r="210" spans="1:8" x14ac:dyDescent="0.15">
      <c r="A210" s="112" t="s">
        <v>292</v>
      </c>
      <c r="B210" s="113"/>
      <c r="C210" s="113"/>
      <c r="D210" s="113"/>
      <c r="E210" s="113"/>
      <c r="F210" s="113"/>
      <c r="G210" s="113"/>
      <c r="H210" s="112"/>
    </row>
    <row r="211" spans="1:8" x14ac:dyDescent="0.15">
      <c r="A211" s="112" t="s">
        <v>293</v>
      </c>
      <c r="B211" s="113"/>
      <c r="C211" s="113"/>
      <c r="D211" s="113"/>
      <c r="E211" s="113"/>
      <c r="F211" s="113"/>
      <c r="G211" s="113"/>
      <c r="H211" s="112"/>
    </row>
    <row r="212" spans="1:8" x14ac:dyDescent="0.15">
      <c r="A212" s="112" t="s">
        <v>294</v>
      </c>
      <c r="B212" s="113"/>
      <c r="C212" s="113"/>
      <c r="D212" s="113"/>
      <c r="E212" s="113"/>
      <c r="F212" s="113"/>
      <c r="G212" s="113"/>
      <c r="H212" s="112"/>
    </row>
    <row r="213" spans="1:8" x14ac:dyDescent="0.15">
      <c r="A213" s="112" t="s">
        <v>295</v>
      </c>
      <c r="B213" s="113"/>
      <c r="C213" s="113"/>
      <c r="D213" s="113"/>
      <c r="E213" s="113"/>
      <c r="F213" s="113"/>
      <c r="G213" s="113"/>
      <c r="H213" s="112"/>
    </row>
    <row r="214" spans="1:8" x14ac:dyDescent="0.15">
      <c r="A214" s="112" t="s">
        <v>296</v>
      </c>
      <c r="B214" s="113"/>
      <c r="C214" s="113"/>
      <c r="D214" s="113"/>
      <c r="E214" s="113"/>
      <c r="F214" s="113"/>
      <c r="G214" s="113"/>
      <c r="H214" s="112"/>
    </row>
    <row r="215" spans="1:8" x14ac:dyDescent="0.15">
      <c r="A215" s="112" t="s">
        <v>297</v>
      </c>
      <c r="B215" s="113"/>
      <c r="C215" s="113"/>
      <c r="D215" s="113"/>
      <c r="E215" s="113"/>
      <c r="F215" s="113"/>
      <c r="G215" s="113"/>
      <c r="H215" s="112"/>
    </row>
    <row r="216" spans="1:8" x14ac:dyDescent="0.15">
      <c r="A216" s="112" t="s">
        <v>298</v>
      </c>
      <c r="B216" s="113"/>
      <c r="C216" s="113"/>
      <c r="D216" s="113"/>
      <c r="E216" s="113"/>
      <c r="F216" s="113"/>
      <c r="G216" s="113"/>
      <c r="H216" s="112"/>
    </row>
    <row r="217" spans="1:8" x14ac:dyDescent="0.15">
      <c r="A217" s="112" t="s">
        <v>299</v>
      </c>
      <c r="B217" s="113"/>
      <c r="C217" s="113"/>
      <c r="D217" s="113"/>
      <c r="E217" s="113"/>
      <c r="F217" s="113"/>
      <c r="G217" s="113"/>
      <c r="H217" s="112"/>
    </row>
    <row r="218" spans="1:8" x14ac:dyDescent="0.15">
      <c r="A218" s="112" t="s">
        <v>300</v>
      </c>
      <c r="B218" s="113"/>
      <c r="C218" s="113"/>
      <c r="D218" s="113"/>
      <c r="E218" s="113"/>
      <c r="F218" s="113"/>
      <c r="G218" s="113"/>
      <c r="H218" s="112"/>
    </row>
    <row r="219" spans="1:8" x14ac:dyDescent="0.15">
      <c r="A219" s="112" t="s">
        <v>301</v>
      </c>
      <c r="B219" s="113"/>
      <c r="C219" s="113"/>
      <c r="D219" s="113"/>
      <c r="E219" s="113"/>
      <c r="F219" s="113"/>
      <c r="G219" s="113"/>
      <c r="H219" s="112"/>
    </row>
    <row r="220" spans="1:8" x14ac:dyDescent="0.15">
      <c r="A220" s="112" t="s">
        <v>302</v>
      </c>
      <c r="B220" s="113"/>
      <c r="C220" s="113"/>
      <c r="D220" s="113"/>
      <c r="E220" s="113"/>
      <c r="F220" s="113"/>
      <c r="G220" s="113"/>
      <c r="H220" s="112"/>
    </row>
    <row r="221" spans="1:8" x14ac:dyDescent="0.15">
      <c r="A221" s="112" t="s">
        <v>303</v>
      </c>
      <c r="B221" s="113"/>
      <c r="C221" s="113"/>
      <c r="D221" s="113"/>
      <c r="E221" s="113"/>
      <c r="F221" s="113"/>
      <c r="G221" s="113"/>
      <c r="H221" s="112"/>
    </row>
    <row r="222" spans="1:8" x14ac:dyDescent="0.15">
      <c r="A222" s="112" t="s">
        <v>304</v>
      </c>
      <c r="B222" s="113"/>
      <c r="C222" s="113"/>
      <c r="D222" s="113"/>
      <c r="E222" s="113"/>
      <c r="F222" s="113"/>
      <c r="G222" s="113"/>
      <c r="H222" s="112"/>
    </row>
    <row r="223" spans="1:8" x14ac:dyDescent="0.15">
      <c r="A223" s="112" t="s">
        <v>305</v>
      </c>
      <c r="B223" s="113"/>
      <c r="C223" s="113"/>
      <c r="D223" s="113"/>
      <c r="E223" s="113"/>
      <c r="F223" s="113"/>
      <c r="G223" s="113"/>
      <c r="H223" s="112"/>
    </row>
    <row r="224" spans="1:8" x14ac:dyDescent="0.15">
      <c r="A224" s="112" t="s">
        <v>306</v>
      </c>
      <c r="B224" s="113"/>
      <c r="C224" s="113"/>
      <c r="D224" s="113"/>
      <c r="E224" s="113"/>
      <c r="F224" s="113"/>
      <c r="G224" s="113"/>
      <c r="H224" s="112"/>
    </row>
    <row r="225" spans="1:8" x14ac:dyDescent="0.15">
      <c r="A225" s="112" t="s">
        <v>307</v>
      </c>
      <c r="B225" s="113"/>
      <c r="C225" s="113"/>
      <c r="D225" s="113"/>
      <c r="E225" s="113"/>
      <c r="F225" s="113"/>
      <c r="G225" s="113"/>
      <c r="H225" s="112"/>
    </row>
    <row r="226" spans="1:8" x14ac:dyDescent="0.15">
      <c r="A226" s="112" t="s">
        <v>308</v>
      </c>
      <c r="B226" s="113"/>
      <c r="C226" s="113"/>
      <c r="D226" s="113"/>
      <c r="E226" s="113"/>
      <c r="F226" s="113"/>
      <c r="G226" s="113"/>
      <c r="H226" s="112"/>
    </row>
    <row r="227" spans="1:8" x14ac:dyDescent="0.15">
      <c r="A227" s="112" t="s">
        <v>309</v>
      </c>
      <c r="B227" s="113"/>
      <c r="C227" s="113"/>
      <c r="D227" s="113"/>
      <c r="E227" s="113"/>
      <c r="F227" s="113"/>
      <c r="G227" s="113"/>
      <c r="H227" s="112"/>
    </row>
    <row r="228" spans="1:8" x14ac:dyDescent="0.15">
      <c r="A228" s="112" t="s">
        <v>310</v>
      </c>
      <c r="B228" s="113"/>
      <c r="C228" s="113"/>
      <c r="D228" s="113"/>
      <c r="E228" s="113"/>
      <c r="F228" s="113"/>
      <c r="G228" s="113"/>
      <c r="H228" s="112"/>
    </row>
    <row r="229" spans="1:8" x14ac:dyDescent="0.15">
      <c r="A229" s="112" t="s">
        <v>311</v>
      </c>
      <c r="B229" s="113"/>
      <c r="C229" s="113"/>
      <c r="D229" s="113"/>
      <c r="E229" s="113"/>
      <c r="F229" s="113"/>
      <c r="G229" s="113"/>
      <c r="H229" s="112"/>
    </row>
    <row r="230" spans="1:8" x14ac:dyDescent="0.15">
      <c r="A230" s="112" t="s">
        <v>312</v>
      </c>
      <c r="B230" s="113"/>
      <c r="C230" s="113"/>
      <c r="D230" s="113"/>
      <c r="E230" s="113"/>
      <c r="F230" s="113"/>
      <c r="G230" s="113"/>
      <c r="H230" s="112"/>
    </row>
    <row r="231" spans="1:8" x14ac:dyDescent="0.15">
      <c r="A231" s="112" t="s">
        <v>313</v>
      </c>
      <c r="B231" s="113"/>
      <c r="C231" s="113"/>
      <c r="D231" s="113"/>
      <c r="E231" s="113"/>
      <c r="F231" s="113"/>
      <c r="G231" s="113"/>
      <c r="H231" s="112"/>
    </row>
    <row r="232" spans="1:8" x14ac:dyDescent="0.15">
      <c r="A232" s="112" t="s">
        <v>314</v>
      </c>
      <c r="B232" s="113"/>
      <c r="C232" s="113"/>
      <c r="D232" s="113"/>
      <c r="E232" s="113"/>
      <c r="F232" s="113"/>
      <c r="G232" s="113"/>
      <c r="H232" s="112"/>
    </row>
    <row r="233" spans="1:8" x14ac:dyDescent="0.15">
      <c r="A233" s="112" t="s">
        <v>315</v>
      </c>
      <c r="B233" s="113"/>
      <c r="C233" s="113"/>
      <c r="D233" s="113"/>
      <c r="E233" s="113"/>
      <c r="F233" s="113"/>
      <c r="G233" s="113"/>
      <c r="H233" s="112"/>
    </row>
    <row r="234" spans="1:8" x14ac:dyDescent="0.15">
      <c r="A234" s="112" t="s">
        <v>316</v>
      </c>
      <c r="B234" s="113"/>
      <c r="C234" s="113"/>
      <c r="D234" s="113"/>
      <c r="E234" s="113"/>
      <c r="F234" s="113"/>
      <c r="G234" s="113"/>
      <c r="H234" s="112"/>
    </row>
    <row r="235" spans="1:8" x14ac:dyDescent="0.15">
      <c r="A235" s="112" t="s">
        <v>317</v>
      </c>
      <c r="B235" s="113"/>
      <c r="C235" s="113"/>
      <c r="D235" s="113"/>
      <c r="E235" s="113"/>
      <c r="F235" s="113"/>
      <c r="G235" s="113"/>
      <c r="H235" s="112"/>
    </row>
    <row r="236" spans="1:8" x14ac:dyDescent="0.15">
      <c r="A236" s="112" t="s">
        <v>318</v>
      </c>
      <c r="B236" s="113"/>
      <c r="C236" s="113"/>
      <c r="D236" s="113"/>
      <c r="E236" s="113"/>
      <c r="F236" s="113"/>
      <c r="G236" s="113"/>
      <c r="H236" s="112"/>
    </row>
    <row r="237" spans="1:8" x14ac:dyDescent="0.15">
      <c r="A237" s="112" t="s">
        <v>319</v>
      </c>
      <c r="B237" s="113"/>
      <c r="C237" s="113"/>
      <c r="D237" s="113"/>
      <c r="E237" s="113"/>
      <c r="F237" s="113"/>
      <c r="G237" s="113"/>
      <c r="H237" s="112"/>
    </row>
    <row r="238" spans="1:8" x14ac:dyDescent="0.15">
      <c r="A238" s="112" t="s">
        <v>498</v>
      </c>
      <c r="B238" s="113"/>
      <c r="C238" s="113"/>
      <c r="D238" s="113"/>
      <c r="E238" s="113"/>
      <c r="F238" s="113"/>
      <c r="G238" s="113"/>
      <c r="H238" s="112"/>
    </row>
    <row r="239" spans="1:8" x14ac:dyDescent="0.15">
      <c r="A239" s="112" t="s">
        <v>320</v>
      </c>
      <c r="B239" s="113"/>
      <c r="C239" s="113"/>
      <c r="D239" s="113"/>
      <c r="E239" s="113"/>
      <c r="F239" s="113"/>
      <c r="G239" s="113"/>
      <c r="H239" s="112"/>
    </row>
    <row r="240" spans="1:8" x14ac:dyDescent="0.15">
      <c r="A240" s="112" t="s">
        <v>321</v>
      </c>
      <c r="B240" s="113"/>
      <c r="C240" s="113"/>
      <c r="D240" s="113"/>
      <c r="E240" s="113"/>
      <c r="F240" s="113"/>
      <c r="G240" s="113"/>
      <c r="H240" s="112"/>
    </row>
    <row r="241" spans="1:8" x14ac:dyDescent="0.15">
      <c r="A241" s="112" t="s">
        <v>322</v>
      </c>
      <c r="B241" s="113"/>
      <c r="C241" s="113"/>
      <c r="D241" s="113"/>
      <c r="E241" s="113"/>
      <c r="F241" s="113"/>
      <c r="G241" s="113"/>
      <c r="H241" s="112"/>
    </row>
    <row r="242" spans="1:8" x14ac:dyDescent="0.15">
      <c r="A242" s="112" t="s">
        <v>323</v>
      </c>
      <c r="B242" s="113"/>
      <c r="C242" s="113"/>
      <c r="D242" s="113"/>
      <c r="E242" s="113"/>
      <c r="F242" s="113"/>
      <c r="G242" s="113"/>
      <c r="H242" s="112"/>
    </row>
    <row r="243" spans="1:8" x14ac:dyDescent="0.15">
      <c r="A243" s="112" t="s">
        <v>324</v>
      </c>
      <c r="B243" s="113"/>
      <c r="C243" s="113"/>
      <c r="D243" s="113"/>
      <c r="E243" s="113"/>
      <c r="F243" s="113"/>
      <c r="G243" s="113"/>
      <c r="H243" s="112"/>
    </row>
    <row r="244" spans="1:8" x14ac:dyDescent="0.15">
      <c r="A244" s="112" t="s">
        <v>325</v>
      </c>
      <c r="B244" s="113"/>
      <c r="C244" s="113"/>
      <c r="D244" s="113"/>
      <c r="E244" s="113"/>
      <c r="F244" s="113"/>
      <c r="G244" s="113"/>
      <c r="H244" s="112"/>
    </row>
    <row r="245" spans="1:8" x14ac:dyDescent="0.15">
      <c r="A245" s="112" t="s">
        <v>326</v>
      </c>
      <c r="B245" s="113"/>
      <c r="C245" s="113"/>
      <c r="D245" s="113"/>
      <c r="E245" s="113"/>
      <c r="F245" s="113"/>
      <c r="G245" s="113"/>
      <c r="H245" s="112"/>
    </row>
    <row r="246" spans="1:8" x14ac:dyDescent="0.15">
      <c r="A246" s="112" t="s">
        <v>327</v>
      </c>
      <c r="B246" s="113"/>
      <c r="C246" s="113"/>
      <c r="D246" s="113"/>
      <c r="E246" s="113"/>
      <c r="F246" s="113"/>
      <c r="G246" s="113"/>
      <c r="H246" s="112"/>
    </row>
    <row r="247" spans="1:8" x14ac:dyDescent="0.15">
      <c r="A247" s="112" t="s">
        <v>328</v>
      </c>
      <c r="B247" s="113"/>
      <c r="C247" s="113"/>
      <c r="D247" s="113"/>
      <c r="E247" s="113"/>
      <c r="F247" s="113"/>
      <c r="G247" s="113"/>
      <c r="H247" s="112"/>
    </row>
    <row r="248" spans="1:8" x14ac:dyDescent="0.15">
      <c r="A248" s="112" t="s">
        <v>329</v>
      </c>
      <c r="B248" s="113"/>
      <c r="C248" s="113"/>
      <c r="D248" s="113"/>
      <c r="E248" s="113"/>
      <c r="F248" s="113"/>
      <c r="G248" s="113"/>
      <c r="H248" s="112"/>
    </row>
    <row r="249" spans="1:8" x14ac:dyDescent="0.15">
      <c r="A249" s="112" t="s">
        <v>330</v>
      </c>
      <c r="B249" s="113"/>
      <c r="C249" s="113"/>
      <c r="D249" s="113"/>
      <c r="E249" s="113"/>
      <c r="F249" s="113"/>
      <c r="G249" s="113"/>
      <c r="H249" s="112"/>
    </row>
    <row r="250" spans="1:8" x14ac:dyDescent="0.15">
      <c r="A250" s="112" t="s">
        <v>331</v>
      </c>
      <c r="B250" s="113"/>
      <c r="C250" s="113"/>
      <c r="D250" s="113"/>
      <c r="E250" s="113"/>
      <c r="F250" s="113"/>
      <c r="G250" s="113"/>
      <c r="H250" s="112"/>
    </row>
    <row r="251" spans="1:8" x14ac:dyDescent="0.15">
      <c r="A251" s="112" t="s">
        <v>332</v>
      </c>
      <c r="B251" s="113"/>
      <c r="C251" s="113"/>
      <c r="D251" s="113"/>
      <c r="E251" s="113"/>
      <c r="F251" s="113"/>
      <c r="G251" s="113"/>
      <c r="H251" s="112"/>
    </row>
    <row r="252" spans="1:8" x14ac:dyDescent="0.15">
      <c r="A252" s="112" t="s">
        <v>333</v>
      </c>
      <c r="B252" s="113"/>
      <c r="C252" s="113"/>
      <c r="D252" s="113"/>
      <c r="E252" s="113"/>
      <c r="F252" s="113"/>
      <c r="G252" s="113"/>
      <c r="H252" s="112"/>
    </row>
    <row r="253" spans="1:8" x14ac:dyDescent="0.15">
      <c r="A253" s="112" t="s">
        <v>334</v>
      </c>
      <c r="B253" s="113"/>
      <c r="C253" s="113"/>
      <c r="D253" s="113"/>
      <c r="E253" s="113"/>
      <c r="F253" s="113"/>
      <c r="G253" s="113"/>
      <c r="H253" s="112"/>
    </row>
    <row r="254" spans="1:8" x14ac:dyDescent="0.15">
      <c r="A254" s="112" t="s">
        <v>335</v>
      </c>
      <c r="B254" s="113"/>
      <c r="C254" s="113"/>
      <c r="D254" s="113"/>
      <c r="E254" s="113"/>
      <c r="F254" s="113"/>
      <c r="G254" s="113"/>
      <c r="H254" s="112"/>
    </row>
    <row r="255" spans="1:8" x14ac:dyDescent="0.15">
      <c r="A255" s="112" t="s">
        <v>336</v>
      </c>
      <c r="B255" s="113"/>
      <c r="C255" s="113"/>
      <c r="D255" s="113"/>
      <c r="E255" s="113"/>
      <c r="F255" s="113"/>
      <c r="G255" s="113"/>
      <c r="H255" s="112"/>
    </row>
    <row r="256" spans="1:8" x14ac:dyDescent="0.15">
      <c r="A256" s="112" t="s">
        <v>337</v>
      </c>
      <c r="B256" s="113"/>
      <c r="C256" s="113"/>
      <c r="D256" s="113"/>
      <c r="E256" s="113"/>
      <c r="F256" s="113"/>
      <c r="G256" s="113"/>
      <c r="H256" s="112"/>
    </row>
    <row r="257" spans="1:8" x14ac:dyDescent="0.15">
      <c r="A257" s="112" t="s">
        <v>338</v>
      </c>
      <c r="B257" s="113"/>
      <c r="C257" s="113"/>
      <c r="D257" s="113"/>
      <c r="E257" s="113"/>
      <c r="F257" s="113"/>
      <c r="G257" s="113"/>
      <c r="H257" s="112"/>
    </row>
    <row r="258" spans="1:8" x14ac:dyDescent="0.15">
      <c r="A258" s="112" t="s">
        <v>339</v>
      </c>
      <c r="B258" s="113"/>
      <c r="C258" s="113"/>
      <c r="D258" s="113"/>
      <c r="E258" s="113"/>
      <c r="F258" s="113"/>
      <c r="G258" s="113"/>
      <c r="H258" s="112"/>
    </row>
    <row r="259" spans="1:8" x14ac:dyDescent="0.15">
      <c r="A259" s="112" t="s">
        <v>340</v>
      </c>
      <c r="B259" s="113"/>
      <c r="C259" s="113"/>
      <c r="D259" s="113"/>
      <c r="E259" s="113"/>
      <c r="F259" s="113"/>
      <c r="G259" s="113"/>
      <c r="H259" s="112"/>
    </row>
    <row r="260" spans="1:8" x14ac:dyDescent="0.15">
      <c r="A260" s="112" t="s">
        <v>341</v>
      </c>
      <c r="B260" s="113"/>
      <c r="C260" s="113"/>
      <c r="D260" s="113"/>
      <c r="E260" s="113"/>
      <c r="F260" s="113"/>
      <c r="G260" s="113"/>
      <c r="H260" s="112"/>
    </row>
    <row r="261" spans="1:8" x14ac:dyDescent="0.15">
      <c r="A261" s="112" t="s">
        <v>342</v>
      </c>
      <c r="B261" s="113"/>
      <c r="C261" s="113"/>
      <c r="D261" s="113"/>
      <c r="E261" s="113"/>
      <c r="F261" s="113"/>
      <c r="G261" s="113"/>
      <c r="H261" s="112"/>
    </row>
    <row r="262" spans="1:8" x14ac:dyDescent="0.15">
      <c r="A262" s="112" t="s">
        <v>343</v>
      </c>
      <c r="B262" s="113"/>
      <c r="C262" s="113"/>
      <c r="D262" s="113"/>
      <c r="E262" s="113"/>
      <c r="F262" s="113"/>
      <c r="G262" s="113"/>
      <c r="H262" s="112"/>
    </row>
    <row r="263" spans="1:8" x14ac:dyDescent="0.15">
      <c r="A263" s="112" t="s">
        <v>344</v>
      </c>
      <c r="B263" s="113"/>
      <c r="C263" s="113"/>
      <c r="D263" s="113"/>
      <c r="E263" s="113"/>
      <c r="F263" s="113"/>
      <c r="G263" s="113"/>
      <c r="H263" s="112"/>
    </row>
    <row r="264" spans="1:8" x14ac:dyDescent="0.15">
      <c r="A264" s="112" t="s">
        <v>345</v>
      </c>
      <c r="B264" s="113"/>
      <c r="C264" s="113"/>
      <c r="D264" s="113"/>
      <c r="E264" s="113"/>
      <c r="F264" s="113"/>
      <c r="G264" s="113"/>
      <c r="H264" s="112"/>
    </row>
    <row r="265" spans="1:8" x14ac:dyDescent="0.15">
      <c r="A265" s="112" t="s">
        <v>346</v>
      </c>
      <c r="B265" s="112"/>
      <c r="C265" s="112"/>
      <c r="D265" s="112"/>
      <c r="E265" s="112"/>
      <c r="F265" s="112"/>
      <c r="G265" s="112"/>
      <c r="H265" s="112"/>
    </row>
    <row r="266" spans="1:8" x14ac:dyDescent="0.15">
      <c r="A266" s="112" t="s">
        <v>347</v>
      </c>
      <c r="B266" s="112"/>
      <c r="C266" s="112"/>
      <c r="D266" s="112"/>
      <c r="E266" s="112"/>
      <c r="F266" s="112"/>
      <c r="G266" s="112"/>
      <c r="H266" s="112"/>
    </row>
    <row r="267" spans="1:8" x14ac:dyDescent="0.15">
      <c r="A267" s="112" t="s">
        <v>348</v>
      </c>
      <c r="B267" s="112"/>
      <c r="C267" s="112"/>
      <c r="D267" s="112"/>
      <c r="E267" s="112"/>
      <c r="F267" s="112"/>
      <c r="G267" s="112"/>
      <c r="H267" s="112"/>
    </row>
    <row r="268" spans="1:8" x14ac:dyDescent="0.15">
      <c r="A268" s="112" t="s">
        <v>349</v>
      </c>
      <c r="B268" s="112"/>
      <c r="C268" s="112"/>
      <c r="D268" s="112"/>
      <c r="E268" s="112"/>
      <c r="F268" s="112"/>
      <c r="G268" s="112"/>
      <c r="H268" s="112"/>
    </row>
    <row r="269" spans="1:8" x14ac:dyDescent="0.15">
      <c r="A269" s="112" t="s">
        <v>350</v>
      </c>
      <c r="B269" s="112"/>
      <c r="C269" s="112"/>
      <c r="D269" s="112"/>
      <c r="E269" s="112"/>
      <c r="F269" s="112"/>
      <c r="G269" s="112"/>
      <c r="H269" s="112"/>
    </row>
    <row r="270" spans="1:8" x14ac:dyDescent="0.15">
      <c r="A270" s="112" t="s">
        <v>351</v>
      </c>
      <c r="B270" s="112"/>
      <c r="C270" s="112"/>
      <c r="D270" s="112"/>
      <c r="E270" s="112"/>
      <c r="F270" s="112"/>
      <c r="G270" s="112"/>
      <c r="H270" s="112"/>
    </row>
    <row r="271" spans="1:8" x14ac:dyDescent="0.15">
      <c r="A271" s="112" t="s">
        <v>352</v>
      </c>
      <c r="B271" s="112"/>
      <c r="C271" s="112"/>
      <c r="D271" s="112"/>
      <c r="E271" s="112"/>
      <c r="F271" s="112"/>
      <c r="G271" s="112"/>
      <c r="H271" s="112"/>
    </row>
    <row r="272" spans="1:8" x14ac:dyDescent="0.15">
      <c r="A272" s="112" t="s">
        <v>353</v>
      </c>
      <c r="B272" s="112"/>
      <c r="C272" s="112"/>
      <c r="D272" s="112"/>
      <c r="E272" s="112"/>
      <c r="F272" s="112"/>
      <c r="G272" s="112"/>
      <c r="H272" s="112"/>
    </row>
    <row r="273" spans="1:8" x14ac:dyDescent="0.15">
      <c r="A273" s="112" t="s">
        <v>354</v>
      </c>
      <c r="B273" s="112"/>
      <c r="C273" s="112"/>
      <c r="D273" s="112"/>
      <c r="E273" s="112"/>
      <c r="F273" s="112"/>
      <c r="G273" s="112"/>
      <c r="H273" s="112"/>
    </row>
    <row r="274" spans="1:8" x14ac:dyDescent="0.15">
      <c r="A274" s="112" t="s">
        <v>355</v>
      </c>
      <c r="B274" s="112"/>
      <c r="C274" s="112"/>
      <c r="D274" s="112"/>
      <c r="E274" s="112"/>
      <c r="F274" s="112"/>
      <c r="G274" s="112"/>
      <c r="H274" s="112"/>
    </row>
    <row r="275" spans="1:8" x14ac:dyDescent="0.15">
      <c r="A275" s="112" t="s">
        <v>356</v>
      </c>
      <c r="B275" s="112"/>
      <c r="C275" s="112"/>
      <c r="D275" s="112"/>
      <c r="E275" s="112"/>
      <c r="F275" s="112"/>
      <c r="G275" s="112"/>
      <c r="H275" s="112"/>
    </row>
    <row r="276" spans="1:8" x14ac:dyDescent="0.15">
      <c r="A276" s="112" t="s">
        <v>357</v>
      </c>
      <c r="B276" s="112"/>
      <c r="C276" s="112"/>
      <c r="D276" s="112"/>
      <c r="E276" s="112"/>
      <c r="F276" s="112"/>
      <c r="G276" s="112"/>
      <c r="H276" s="112"/>
    </row>
    <row r="277" spans="1:8" x14ac:dyDescent="0.15">
      <c r="A277" s="112" t="s">
        <v>358</v>
      </c>
      <c r="B277" s="112"/>
      <c r="C277" s="112"/>
      <c r="D277" s="112"/>
      <c r="E277" s="112"/>
      <c r="F277" s="112"/>
      <c r="G277" s="112"/>
      <c r="H277" s="112"/>
    </row>
    <row r="278" spans="1:8" x14ac:dyDescent="0.15">
      <c r="A278" s="112" t="s">
        <v>359</v>
      </c>
      <c r="B278" s="112"/>
      <c r="C278" s="112"/>
      <c r="D278" s="112"/>
      <c r="E278" s="112"/>
      <c r="F278" s="112"/>
      <c r="G278" s="112"/>
      <c r="H278" s="112"/>
    </row>
    <row r="279" spans="1:8" x14ac:dyDescent="0.15">
      <c r="A279" s="112" t="s">
        <v>360</v>
      </c>
      <c r="B279" s="112"/>
      <c r="C279" s="112"/>
      <c r="D279" s="112"/>
      <c r="E279" s="112"/>
      <c r="F279" s="112"/>
      <c r="G279" s="112"/>
      <c r="H279" s="112"/>
    </row>
    <row r="280" spans="1:8" x14ac:dyDescent="0.15">
      <c r="A280" s="112" t="s">
        <v>361</v>
      </c>
      <c r="B280" s="112"/>
      <c r="C280" s="112"/>
      <c r="D280" s="112"/>
      <c r="E280" s="112"/>
      <c r="F280" s="112"/>
      <c r="G280" s="112"/>
      <c r="H280" s="112"/>
    </row>
    <row r="281" spans="1:8" x14ac:dyDescent="0.15">
      <c r="A281" s="112" t="s">
        <v>362</v>
      </c>
      <c r="B281" s="112"/>
      <c r="C281" s="112"/>
      <c r="D281" s="112"/>
      <c r="E281" s="112"/>
      <c r="F281" s="112"/>
      <c r="G281" s="112"/>
      <c r="H281" s="112"/>
    </row>
    <row r="282" spans="1:8" x14ac:dyDescent="0.15">
      <c r="A282" s="112" t="s">
        <v>363</v>
      </c>
      <c r="B282" s="112"/>
      <c r="C282" s="112"/>
      <c r="D282" s="112"/>
      <c r="E282" s="112"/>
      <c r="F282" s="112"/>
      <c r="G282" s="112"/>
      <c r="H282" s="112"/>
    </row>
    <row r="283" spans="1:8" x14ac:dyDescent="0.15">
      <c r="A283" s="112" t="s">
        <v>364</v>
      </c>
      <c r="B283" s="112"/>
      <c r="C283" s="112"/>
      <c r="D283" s="112"/>
      <c r="E283" s="112"/>
      <c r="F283" s="112"/>
      <c r="G283" s="112"/>
      <c r="H283" s="112"/>
    </row>
    <row r="284" spans="1:8" x14ac:dyDescent="0.15">
      <c r="A284" s="112" t="s">
        <v>365</v>
      </c>
      <c r="B284" s="112"/>
      <c r="C284" s="112"/>
      <c r="D284" s="112"/>
      <c r="E284" s="112"/>
      <c r="F284" s="112"/>
      <c r="G284" s="112"/>
      <c r="H284" s="112"/>
    </row>
    <row r="285" spans="1:8" x14ac:dyDescent="0.15">
      <c r="A285" s="112" t="s">
        <v>366</v>
      </c>
      <c r="B285" s="112"/>
      <c r="C285" s="112"/>
      <c r="D285" s="112"/>
      <c r="E285" s="112"/>
      <c r="F285" s="112"/>
      <c r="G285" s="112"/>
      <c r="H285" s="112"/>
    </row>
    <row r="286" spans="1:8" x14ac:dyDescent="0.15">
      <c r="A286" s="112" t="s">
        <v>367</v>
      </c>
      <c r="B286" s="112"/>
      <c r="C286" s="112"/>
      <c r="D286" s="112"/>
      <c r="E286" s="112"/>
      <c r="F286" s="112"/>
      <c r="G286" s="112"/>
      <c r="H286" s="112"/>
    </row>
    <row r="287" spans="1:8" x14ac:dyDescent="0.15">
      <c r="A287" s="112" t="s">
        <v>368</v>
      </c>
      <c r="B287" s="112"/>
      <c r="C287" s="112"/>
      <c r="D287" s="112"/>
      <c r="E287" s="112"/>
      <c r="F287" s="112"/>
      <c r="G287" s="112"/>
      <c r="H287" s="112"/>
    </row>
    <row r="288" spans="1:8" x14ac:dyDescent="0.15">
      <c r="A288" s="112" t="s">
        <v>369</v>
      </c>
      <c r="B288" s="112"/>
      <c r="C288" s="112"/>
      <c r="D288" s="112"/>
      <c r="E288" s="112"/>
      <c r="F288" s="112"/>
      <c r="G288" s="112"/>
      <c r="H288" s="112"/>
    </row>
    <row r="289" spans="1:8" x14ac:dyDescent="0.15">
      <c r="A289" s="112" t="s">
        <v>370</v>
      </c>
      <c r="B289" s="112"/>
      <c r="C289" s="112"/>
      <c r="D289" s="112"/>
      <c r="E289" s="112"/>
      <c r="F289" s="112"/>
      <c r="G289" s="112"/>
      <c r="H289" s="112"/>
    </row>
    <row r="290" spans="1:8" x14ac:dyDescent="0.15">
      <c r="A290" s="112" t="s">
        <v>371</v>
      </c>
      <c r="B290" s="112"/>
      <c r="C290" s="112"/>
      <c r="D290" s="112"/>
      <c r="E290" s="112"/>
      <c r="F290" s="112"/>
      <c r="G290" s="112"/>
      <c r="H290" s="112"/>
    </row>
    <row r="291" spans="1:8" x14ac:dyDescent="0.15">
      <c r="A291" s="112" t="s">
        <v>372</v>
      </c>
      <c r="B291" s="112"/>
      <c r="C291" s="112"/>
      <c r="D291" s="112"/>
      <c r="E291" s="112"/>
      <c r="F291" s="112"/>
      <c r="G291" s="112"/>
      <c r="H291" s="112"/>
    </row>
    <row r="292" spans="1:8" x14ac:dyDescent="0.15">
      <c r="A292" s="112" t="s">
        <v>373</v>
      </c>
      <c r="B292" s="112"/>
      <c r="C292" s="112"/>
      <c r="D292" s="112"/>
      <c r="E292" s="112"/>
      <c r="F292" s="112"/>
      <c r="G292" s="112"/>
      <c r="H292" s="112"/>
    </row>
    <row r="293" spans="1:8" x14ac:dyDescent="0.15">
      <c r="A293" s="112" t="s">
        <v>374</v>
      </c>
      <c r="B293" s="112"/>
      <c r="C293" s="112"/>
      <c r="D293" s="112"/>
      <c r="E293" s="112"/>
      <c r="F293" s="112"/>
      <c r="G293" s="112"/>
      <c r="H293" s="112"/>
    </row>
    <row r="294" spans="1:8" x14ac:dyDescent="0.15">
      <c r="A294" s="112" t="s">
        <v>375</v>
      </c>
      <c r="B294" s="112"/>
      <c r="C294" s="112"/>
      <c r="D294" s="112"/>
      <c r="E294" s="112"/>
      <c r="F294" s="112"/>
      <c r="G294" s="112"/>
      <c r="H294" s="112"/>
    </row>
    <row r="295" spans="1:8" x14ac:dyDescent="0.15">
      <c r="A295" s="112" t="s">
        <v>376</v>
      </c>
      <c r="B295" s="112"/>
      <c r="C295" s="112"/>
      <c r="D295" s="112"/>
      <c r="E295" s="112"/>
      <c r="F295" s="112"/>
      <c r="G295" s="112"/>
      <c r="H295" s="112"/>
    </row>
    <row r="296" spans="1:8" x14ac:dyDescent="0.15">
      <c r="A296" s="112" t="s">
        <v>377</v>
      </c>
      <c r="B296" s="112"/>
      <c r="C296" s="112"/>
      <c r="D296" s="112"/>
      <c r="E296" s="112"/>
      <c r="F296" s="112"/>
      <c r="G296" s="112"/>
      <c r="H296" s="112"/>
    </row>
    <row r="297" spans="1:8" x14ac:dyDescent="0.15">
      <c r="A297" s="112" t="s">
        <v>378</v>
      </c>
      <c r="B297" s="112"/>
      <c r="C297" s="112"/>
      <c r="D297" s="112"/>
      <c r="E297" s="112"/>
      <c r="F297" s="112"/>
      <c r="G297" s="112"/>
      <c r="H297" s="112"/>
    </row>
    <row r="298" spans="1:8" x14ac:dyDescent="0.15">
      <c r="A298" s="112" t="s">
        <v>379</v>
      </c>
      <c r="B298" s="112"/>
      <c r="C298" s="112"/>
      <c r="D298" s="112"/>
      <c r="E298" s="112"/>
      <c r="F298" s="112"/>
      <c r="G298" s="112"/>
      <c r="H298" s="112"/>
    </row>
    <row r="299" spans="1:8" x14ac:dyDescent="0.15">
      <c r="A299" s="112" t="s">
        <v>380</v>
      </c>
      <c r="B299" s="112"/>
      <c r="C299" s="112"/>
      <c r="D299" s="112"/>
      <c r="E299" s="112"/>
      <c r="F299" s="112"/>
      <c r="G299" s="112"/>
      <c r="H299" s="112"/>
    </row>
    <row r="300" spans="1:8" x14ac:dyDescent="0.15">
      <c r="A300" s="112" t="s">
        <v>381</v>
      </c>
      <c r="B300" s="112"/>
      <c r="C300" s="112"/>
      <c r="D300" s="112"/>
      <c r="E300" s="112"/>
      <c r="F300" s="112"/>
      <c r="G300" s="112"/>
      <c r="H300" s="112"/>
    </row>
    <row r="301" spans="1:8" x14ac:dyDescent="0.15">
      <c r="A301" s="112" t="s">
        <v>382</v>
      </c>
      <c r="B301" s="112"/>
      <c r="C301" s="112"/>
      <c r="D301" s="112"/>
      <c r="E301" s="112"/>
      <c r="F301" s="112"/>
      <c r="G301" s="112"/>
      <c r="H301" s="112"/>
    </row>
    <row r="302" spans="1:8" x14ac:dyDescent="0.15">
      <c r="A302" s="112" t="s">
        <v>383</v>
      </c>
      <c r="B302" s="112"/>
      <c r="C302" s="112"/>
      <c r="D302" s="112"/>
      <c r="E302" s="112"/>
      <c r="F302" s="112"/>
      <c r="G302" s="112"/>
      <c r="H302" s="112"/>
    </row>
    <row r="303" spans="1:8" x14ac:dyDescent="0.15">
      <c r="A303" s="112" t="s">
        <v>384</v>
      </c>
      <c r="B303" s="112"/>
      <c r="C303" s="112"/>
      <c r="D303" s="112"/>
      <c r="E303" s="112"/>
      <c r="F303" s="112"/>
      <c r="G303" s="112"/>
      <c r="H303" s="112"/>
    </row>
    <row r="304" spans="1:8" x14ac:dyDescent="0.15">
      <c r="A304" s="112" t="s">
        <v>385</v>
      </c>
      <c r="B304" s="112"/>
      <c r="C304" s="112"/>
      <c r="D304" s="112"/>
      <c r="E304" s="112"/>
      <c r="F304" s="112"/>
      <c r="G304" s="112"/>
      <c r="H304" s="112"/>
    </row>
    <row r="305" spans="1:8" x14ac:dyDescent="0.15">
      <c r="A305" s="112" t="s">
        <v>386</v>
      </c>
      <c r="B305" s="112"/>
      <c r="C305" s="112"/>
      <c r="D305" s="112"/>
      <c r="E305" s="112"/>
      <c r="F305" s="112"/>
      <c r="G305" s="112"/>
      <c r="H305" s="112"/>
    </row>
    <row r="306" spans="1:8" x14ac:dyDescent="0.15">
      <c r="A306" s="112" t="s">
        <v>387</v>
      </c>
      <c r="B306" s="112"/>
      <c r="C306" s="112"/>
      <c r="D306" s="112"/>
      <c r="E306" s="112"/>
      <c r="F306" s="112"/>
      <c r="G306" s="112"/>
      <c r="H306" s="112"/>
    </row>
    <row r="307" spans="1:8" x14ac:dyDescent="0.15">
      <c r="A307" s="112" t="s">
        <v>388</v>
      </c>
      <c r="B307" s="112"/>
      <c r="C307" s="112"/>
      <c r="D307" s="112"/>
      <c r="E307" s="112"/>
      <c r="F307" s="112"/>
      <c r="G307" s="112"/>
      <c r="H307" s="112"/>
    </row>
    <row r="308" spans="1:8" x14ac:dyDescent="0.15">
      <c r="A308" s="112" t="s">
        <v>389</v>
      </c>
      <c r="B308" s="112"/>
      <c r="C308" s="112"/>
      <c r="D308" s="112"/>
      <c r="E308" s="112"/>
      <c r="F308" s="112"/>
      <c r="G308" s="112"/>
      <c r="H308" s="112"/>
    </row>
    <row r="309" spans="1:8" x14ac:dyDescent="0.15">
      <c r="A309" s="112" t="s">
        <v>390</v>
      </c>
      <c r="B309" s="112"/>
      <c r="C309" s="112"/>
      <c r="D309" s="112"/>
      <c r="E309" s="112"/>
      <c r="F309" s="112"/>
      <c r="G309" s="112"/>
      <c r="H309" s="112"/>
    </row>
    <row r="310" spans="1:8" x14ac:dyDescent="0.15">
      <c r="A310" s="112" t="s">
        <v>391</v>
      </c>
      <c r="B310" s="112"/>
      <c r="C310" s="112"/>
      <c r="D310" s="112"/>
      <c r="E310" s="112"/>
      <c r="F310" s="112"/>
      <c r="G310" s="112"/>
      <c r="H310" s="112"/>
    </row>
    <row r="311" spans="1:8" x14ac:dyDescent="0.15">
      <c r="A311" s="112" t="s">
        <v>392</v>
      </c>
      <c r="B311" s="112"/>
      <c r="C311" s="112"/>
      <c r="D311" s="112"/>
      <c r="E311" s="112"/>
      <c r="F311" s="112"/>
      <c r="G311" s="112"/>
      <c r="H311" s="112"/>
    </row>
    <row r="312" spans="1:8" x14ac:dyDescent="0.15">
      <c r="A312" s="112" t="s">
        <v>393</v>
      </c>
      <c r="B312" s="112"/>
      <c r="C312" s="112"/>
      <c r="D312" s="112"/>
      <c r="E312" s="112"/>
      <c r="F312" s="112"/>
      <c r="G312" s="112"/>
      <c r="H312" s="112"/>
    </row>
    <row r="313" spans="1:8" x14ac:dyDescent="0.15">
      <c r="A313" s="112" t="s">
        <v>394</v>
      </c>
      <c r="B313" s="112"/>
      <c r="C313" s="112"/>
      <c r="D313" s="112"/>
      <c r="E313" s="112"/>
      <c r="F313" s="112"/>
      <c r="G313" s="112"/>
      <c r="H313" s="112"/>
    </row>
    <row r="314" spans="1:8" x14ac:dyDescent="0.15">
      <c r="A314" s="112" t="s">
        <v>395</v>
      </c>
      <c r="B314" s="112"/>
      <c r="C314" s="112"/>
      <c r="D314" s="112"/>
      <c r="E314" s="112"/>
      <c r="F314" s="112"/>
      <c r="G314" s="112"/>
      <c r="H314" s="112"/>
    </row>
    <row r="315" spans="1:8" x14ac:dyDescent="0.15">
      <c r="A315" s="112" t="s">
        <v>396</v>
      </c>
      <c r="B315" s="112"/>
      <c r="C315" s="112"/>
      <c r="D315" s="112"/>
      <c r="E315" s="112"/>
      <c r="F315" s="112"/>
      <c r="G315" s="112"/>
      <c r="H315" s="112"/>
    </row>
    <row r="316" spans="1:8" x14ac:dyDescent="0.15">
      <c r="A316" s="112" t="s">
        <v>397</v>
      </c>
      <c r="B316" s="112"/>
      <c r="C316" s="112"/>
      <c r="D316" s="112"/>
      <c r="E316" s="112"/>
      <c r="F316" s="112"/>
      <c r="G316" s="112"/>
      <c r="H316" s="112"/>
    </row>
    <row r="317" spans="1:8" x14ac:dyDescent="0.15">
      <c r="A317" s="112" t="s">
        <v>398</v>
      </c>
      <c r="B317" s="112"/>
      <c r="C317" s="112"/>
      <c r="D317" s="112"/>
      <c r="E317" s="112"/>
      <c r="F317" s="112"/>
      <c r="G317" s="112"/>
      <c r="H317" s="112"/>
    </row>
    <row r="318" spans="1:8" x14ac:dyDescent="0.15">
      <c r="A318" s="112" t="s">
        <v>399</v>
      </c>
      <c r="B318" s="112"/>
      <c r="C318" s="112"/>
      <c r="D318" s="112"/>
      <c r="E318" s="112"/>
      <c r="F318" s="112"/>
      <c r="G318" s="112"/>
      <c r="H318" s="112"/>
    </row>
    <row r="319" spans="1:8" x14ac:dyDescent="0.15">
      <c r="A319" s="112" t="s">
        <v>400</v>
      </c>
      <c r="B319" s="112"/>
      <c r="C319" s="112"/>
      <c r="D319" s="112"/>
      <c r="E319" s="112"/>
      <c r="F319" s="112"/>
      <c r="G319" s="112"/>
      <c r="H319" s="112"/>
    </row>
    <row r="320" spans="1:8" x14ac:dyDescent="0.15">
      <c r="A320" s="112" t="s">
        <v>401</v>
      </c>
      <c r="B320" s="112"/>
      <c r="C320" s="112"/>
      <c r="D320" s="112"/>
      <c r="E320" s="112"/>
      <c r="F320" s="112"/>
      <c r="G320" s="112"/>
      <c r="H320" s="112"/>
    </row>
    <row r="321" spans="1:8" x14ac:dyDescent="0.15">
      <c r="A321" s="112" t="s">
        <v>402</v>
      </c>
      <c r="B321" s="112"/>
      <c r="C321" s="112"/>
      <c r="D321" s="112"/>
      <c r="E321" s="112"/>
      <c r="F321" s="112"/>
      <c r="G321" s="112"/>
      <c r="H321" s="112"/>
    </row>
    <row r="322" spans="1:8" x14ac:dyDescent="0.15">
      <c r="A322" s="112" t="s">
        <v>403</v>
      </c>
      <c r="B322" s="112"/>
      <c r="C322" s="112"/>
      <c r="D322" s="112"/>
      <c r="E322" s="112"/>
      <c r="F322" s="112"/>
      <c r="G322" s="112"/>
      <c r="H322" s="112"/>
    </row>
    <row r="323" spans="1:8" x14ac:dyDescent="0.15">
      <c r="A323" s="112" t="s">
        <v>404</v>
      </c>
      <c r="B323" s="112"/>
      <c r="C323" s="112"/>
      <c r="D323" s="112"/>
      <c r="E323" s="112"/>
      <c r="F323" s="112"/>
      <c r="G323" s="112"/>
      <c r="H323" s="112"/>
    </row>
    <row r="324" spans="1:8" x14ac:dyDescent="0.15">
      <c r="A324" s="112" t="s">
        <v>405</v>
      </c>
      <c r="B324" s="112"/>
      <c r="C324" s="112"/>
      <c r="D324" s="112"/>
      <c r="E324" s="112"/>
      <c r="F324" s="112"/>
      <c r="G324" s="112"/>
      <c r="H324" s="112"/>
    </row>
    <row r="325" spans="1:8" x14ac:dyDescent="0.15">
      <c r="A325" s="112" t="s">
        <v>406</v>
      </c>
      <c r="B325" s="112"/>
      <c r="C325" s="112"/>
      <c r="D325" s="112"/>
      <c r="E325" s="112"/>
      <c r="F325" s="112"/>
      <c r="G325" s="112"/>
      <c r="H325" s="112"/>
    </row>
    <row r="326" spans="1:8" x14ac:dyDescent="0.15">
      <c r="A326" s="112" t="s">
        <v>407</v>
      </c>
      <c r="B326" s="112"/>
      <c r="C326" s="112"/>
      <c r="D326" s="112"/>
      <c r="E326" s="112"/>
      <c r="F326" s="112"/>
      <c r="G326" s="112"/>
      <c r="H326" s="112"/>
    </row>
    <row r="327" spans="1:8" x14ac:dyDescent="0.15">
      <c r="A327" s="112" t="s">
        <v>408</v>
      </c>
      <c r="B327" s="112"/>
      <c r="C327" s="112"/>
      <c r="D327" s="112"/>
      <c r="E327" s="112"/>
      <c r="F327" s="112"/>
      <c r="G327" s="112"/>
      <c r="H327" s="112"/>
    </row>
    <row r="328" spans="1:8" x14ac:dyDescent="0.15">
      <c r="A328" s="112" t="s">
        <v>409</v>
      </c>
      <c r="B328" s="112"/>
      <c r="C328" s="112"/>
      <c r="D328" s="112"/>
      <c r="E328" s="112"/>
      <c r="F328" s="112"/>
      <c r="G328" s="112"/>
      <c r="H328" s="112"/>
    </row>
    <row r="329" spans="1:8" x14ac:dyDescent="0.15">
      <c r="A329" s="112" t="s">
        <v>410</v>
      </c>
      <c r="B329" s="112"/>
      <c r="C329" s="112"/>
      <c r="D329" s="112"/>
      <c r="E329" s="112"/>
      <c r="F329" s="112"/>
      <c r="G329" s="112"/>
      <c r="H329" s="112"/>
    </row>
    <row r="330" spans="1:8" x14ac:dyDescent="0.15">
      <c r="A330" s="112" t="s">
        <v>411</v>
      </c>
      <c r="B330" s="112"/>
      <c r="C330" s="112"/>
      <c r="D330" s="112"/>
      <c r="E330" s="112"/>
      <c r="F330" s="112"/>
      <c r="G330" s="112"/>
      <c r="H330" s="112"/>
    </row>
    <row r="331" spans="1:8" x14ac:dyDescent="0.15">
      <c r="A331" s="112" t="s">
        <v>412</v>
      </c>
      <c r="B331" s="112"/>
      <c r="C331" s="112"/>
      <c r="D331" s="112"/>
      <c r="E331" s="112"/>
      <c r="F331" s="112"/>
      <c r="G331" s="112"/>
      <c r="H331" s="112"/>
    </row>
    <row r="332" spans="1:8" x14ac:dyDescent="0.15">
      <c r="A332" s="112" t="s">
        <v>413</v>
      </c>
      <c r="B332" s="112"/>
      <c r="C332" s="112"/>
      <c r="D332" s="112"/>
      <c r="E332" s="112"/>
      <c r="F332" s="112"/>
      <c r="G332" s="112"/>
      <c r="H332" s="112"/>
    </row>
    <row r="333" spans="1:8" x14ac:dyDescent="0.15">
      <c r="A333" s="112" t="s">
        <v>414</v>
      </c>
      <c r="B333" s="112"/>
      <c r="C333" s="112"/>
      <c r="D333" s="112"/>
      <c r="E333" s="112"/>
      <c r="F333" s="112"/>
      <c r="G333" s="112"/>
      <c r="H333" s="112"/>
    </row>
    <row r="334" spans="1:8" x14ac:dyDescent="0.15">
      <c r="A334" s="112" t="s">
        <v>415</v>
      </c>
      <c r="B334" s="112"/>
      <c r="C334" s="112"/>
      <c r="D334" s="112"/>
      <c r="E334" s="112"/>
      <c r="F334" s="112"/>
      <c r="G334" s="112"/>
      <c r="H334" s="112"/>
    </row>
    <row r="335" spans="1:8" x14ac:dyDescent="0.15">
      <c r="A335" s="112" t="s">
        <v>416</v>
      </c>
      <c r="B335" s="112"/>
      <c r="C335" s="112"/>
      <c r="D335" s="112"/>
      <c r="E335" s="112"/>
      <c r="F335" s="112"/>
      <c r="G335" s="112"/>
      <c r="H335" s="112"/>
    </row>
    <row r="336" spans="1:8" x14ac:dyDescent="0.15">
      <c r="A336" s="112" t="s">
        <v>417</v>
      </c>
      <c r="B336" s="112"/>
      <c r="C336" s="112"/>
      <c r="D336" s="112"/>
      <c r="E336" s="112"/>
      <c r="F336" s="112"/>
      <c r="G336" s="112"/>
      <c r="H336" s="112"/>
    </row>
    <row r="337" spans="1:8" x14ac:dyDescent="0.15">
      <c r="A337" s="112" t="s">
        <v>418</v>
      </c>
      <c r="B337" s="112"/>
      <c r="C337" s="112"/>
      <c r="D337" s="112"/>
      <c r="E337" s="112"/>
      <c r="F337" s="112"/>
      <c r="G337" s="112"/>
      <c r="H337" s="112"/>
    </row>
    <row r="338" spans="1:8" x14ac:dyDescent="0.15">
      <c r="A338" s="112" t="s">
        <v>419</v>
      </c>
      <c r="B338" s="112"/>
      <c r="C338" s="112"/>
      <c r="D338" s="112"/>
      <c r="E338" s="112"/>
      <c r="F338" s="112"/>
      <c r="G338" s="112"/>
      <c r="H338" s="112"/>
    </row>
    <row r="339" spans="1:8" x14ac:dyDescent="0.15">
      <c r="A339" s="112" t="s">
        <v>420</v>
      </c>
      <c r="B339" s="112"/>
      <c r="C339" s="112"/>
      <c r="D339" s="112"/>
      <c r="E339" s="112"/>
      <c r="F339" s="112"/>
      <c r="G339" s="112"/>
      <c r="H339" s="112"/>
    </row>
    <row r="340" spans="1:8" x14ac:dyDescent="0.15">
      <c r="A340" s="112" t="s">
        <v>421</v>
      </c>
      <c r="B340" s="112"/>
      <c r="C340" s="112"/>
      <c r="D340" s="112"/>
      <c r="E340" s="112"/>
      <c r="F340" s="112"/>
      <c r="G340" s="112"/>
      <c r="H340" s="112"/>
    </row>
    <row r="341" spans="1:8" x14ac:dyDescent="0.15">
      <c r="A341" s="112" t="s">
        <v>422</v>
      </c>
      <c r="B341" s="112"/>
      <c r="C341" s="112"/>
      <c r="D341" s="112"/>
      <c r="E341" s="112"/>
      <c r="F341" s="112"/>
      <c r="G341" s="112"/>
      <c r="H341" s="112"/>
    </row>
    <row r="342" spans="1:8" x14ac:dyDescent="0.15">
      <c r="A342" s="112" t="s">
        <v>423</v>
      </c>
      <c r="B342" s="112"/>
      <c r="C342" s="112"/>
      <c r="D342" s="112"/>
      <c r="E342" s="112"/>
      <c r="F342" s="112"/>
      <c r="G342" s="112"/>
      <c r="H342" s="112"/>
    </row>
    <row r="343" spans="1:8" x14ac:dyDescent="0.15">
      <c r="A343" s="112" t="s">
        <v>424</v>
      </c>
      <c r="B343" s="112"/>
      <c r="C343" s="112"/>
      <c r="D343" s="112"/>
      <c r="E343" s="112"/>
      <c r="F343" s="112"/>
      <c r="G343" s="112"/>
      <c r="H343" s="112"/>
    </row>
    <row r="344" spans="1:8" x14ac:dyDescent="0.15">
      <c r="A344" s="112" t="s">
        <v>425</v>
      </c>
      <c r="B344" s="112"/>
      <c r="C344" s="112"/>
      <c r="D344" s="112"/>
      <c r="E344" s="112"/>
      <c r="F344" s="112"/>
      <c r="G344" s="112"/>
      <c r="H344" s="112"/>
    </row>
    <row r="345" spans="1:8" x14ac:dyDescent="0.15">
      <c r="A345" s="112" t="s">
        <v>426</v>
      </c>
      <c r="B345" s="112"/>
      <c r="C345" s="112"/>
      <c r="D345" s="112"/>
      <c r="E345" s="112"/>
      <c r="F345" s="112"/>
      <c r="G345" s="112"/>
      <c r="H345" s="112"/>
    </row>
    <row r="346" spans="1:8" x14ac:dyDescent="0.15">
      <c r="A346" s="112" t="s">
        <v>427</v>
      </c>
      <c r="B346" s="112"/>
      <c r="C346" s="112"/>
      <c r="D346" s="112"/>
      <c r="E346" s="112"/>
      <c r="F346" s="112"/>
      <c r="G346" s="112"/>
      <c r="H346" s="112"/>
    </row>
    <row r="347" spans="1:8" x14ac:dyDescent="0.15">
      <c r="A347" s="112" t="s">
        <v>428</v>
      </c>
      <c r="B347" s="112"/>
      <c r="C347" s="112"/>
      <c r="D347" s="112"/>
      <c r="E347" s="112"/>
      <c r="F347" s="112"/>
      <c r="G347" s="112"/>
      <c r="H347" s="112"/>
    </row>
    <row r="348" spans="1:8" x14ac:dyDescent="0.15">
      <c r="A348" s="112" t="s">
        <v>429</v>
      </c>
      <c r="B348" s="112"/>
      <c r="C348" s="112"/>
      <c r="D348" s="112"/>
      <c r="E348" s="112"/>
      <c r="F348" s="112"/>
      <c r="G348" s="112"/>
      <c r="H348" s="112"/>
    </row>
    <row r="349" spans="1:8" x14ac:dyDescent="0.15">
      <c r="A349" s="112" t="s">
        <v>430</v>
      </c>
      <c r="B349" s="112"/>
      <c r="C349" s="112"/>
      <c r="D349" s="112"/>
      <c r="E349" s="112"/>
      <c r="F349" s="112"/>
      <c r="G349" s="112"/>
      <c r="H349" s="112"/>
    </row>
    <row r="350" spans="1:8" x14ac:dyDescent="0.15">
      <c r="A350" s="112" t="s">
        <v>431</v>
      </c>
      <c r="B350" s="112"/>
      <c r="C350" s="112"/>
      <c r="D350" s="112"/>
      <c r="E350" s="112"/>
      <c r="F350" s="112"/>
      <c r="G350" s="112"/>
      <c r="H350" s="112"/>
    </row>
    <row r="351" spans="1:8" x14ac:dyDescent="0.15">
      <c r="A351" s="112" t="s">
        <v>432</v>
      </c>
      <c r="B351" s="112"/>
      <c r="C351" s="112"/>
      <c r="D351" s="112"/>
      <c r="E351" s="112"/>
      <c r="F351" s="112"/>
      <c r="G351" s="112"/>
      <c r="H351" s="112"/>
    </row>
    <row r="352" spans="1:8" x14ac:dyDescent="0.15">
      <c r="A352" s="112" t="s">
        <v>433</v>
      </c>
      <c r="B352" s="112"/>
      <c r="C352" s="112"/>
      <c r="D352" s="112"/>
      <c r="E352" s="112"/>
      <c r="F352" s="112"/>
      <c r="G352" s="112"/>
      <c r="H352" s="112"/>
    </row>
    <row r="353" spans="1:8" x14ac:dyDescent="0.15">
      <c r="A353" s="112" t="s">
        <v>434</v>
      </c>
      <c r="B353" s="112"/>
      <c r="C353" s="112"/>
      <c r="D353" s="112"/>
      <c r="E353" s="112"/>
      <c r="F353" s="112"/>
      <c r="G353" s="112"/>
      <c r="H353" s="112"/>
    </row>
    <row r="354" spans="1:8" x14ac:dyDescent="0.15">
      <c r="A354" s="112" t="s">
        <v>435</v>
      </c>
      <c r="B354" s="112"/>
      <c r="C354" s="112"/>
      <c r="D354" s="112"/>
      <c r="E354" s="112"/>
      <c r="F354" s="112"/>
      <c r="G354" s="112"/>
      <c r="H354" s="112"/>
    </row>
    <row r="355" spans="1:8" x14ac:dyDescent="0.15">
      <c r="A355" s="112" t="s">
        <v>436</v>
      </c>
      <c r="B355" s="112"/>
      <c r="C355" s="112"/>
      <c r="D355" s="112"/>
      <c r="E355" s="112"/>
      <c r="F355" s="112"/>
      <c r="G355" s="112"/>
      <c r="H355" s="112"/>
    </row>
    <row r="356" spans="1:8" x14ac:dyDescent="0.15">
      <c r="A356" s="112" t="s">
        <v>437</v>
      </c>
      <c r="B356" s="112"/>
      <c r="C356" s="112"/>
      <c r="D356" s="112"/>
      <c r="E356" s="112"/>
      <c r="F356" s="112"/>
      <c r="G356" s="112"/>
      <c r="H356" s="112"/>
    </row>
    <row r="357" spans="1:8" x14ac:dyDescent="0.15">
      <c r="A357" s="112" t="s">
        <v>438</v>
      </c>
      <c r="B357" s="112"/>
      <c r="C357" s="112"/>
      <c r="D357" s="112"/>
      <c r="E357" s="112"/>
      <c r="F357" s="112"/>
      <c r="G357" s="112"/>
      <c r="H357" s="112"/>
    </row>
    <row r="358" spans="1:8" x14ac:dyDescent="0.15">
      <c r="A358" s="112" t="s">
        <v>439</v>
      </c>
      <c r="B358" s="112"/>
      <c r="C358" s="112"/>
      <c r="D358" s="112"/>
      <c r="E358" s="112"/>
      <c r="F358" s="112"/>
      <c r="G358" s="112"/>
      <c r="H358" s="112"/>
    </row>
    <row r="359" spans="1:8" x14ac:dyDescent="0.15">
      <c r="A359" s="112" t="s">
        <v>440</v>
      </c>
      <c r="B359" s="112"/>
      <c r="C359" s="112"/>
      <c r="D359" s="112"/>
      <c r="E359" s="112"/>
      <c r="F359" s="112"/>
      <c r="G359" s="112"/>
      <c r="H359" s="112"/>
    </row>
    <row r="360" spans="1:8" x14ac:dyDescent="0.15">
      <c r="A360" s="112" t="s">
        <v>441</v>
      </c>
      <c r="B360" s="112"/>
      <c r="C360" s="112"/>
      <c r="D360" s="112"/>
      <c r="E360" s="112"/>
      <c r="F360" s="112"/>
      <c r="G360" s="112"/>
      <c r="H360" s="112"/>
    </row>
    <row r="361" spans="1:8" x14ac:dyDescent="0.15">
      <c r="A361" s="112" t="s">
        <v>442</v>
      </c>
      <c r="B361" s="112"/>
      <c r="C361" s="112"/>
      <c r="D361" s="112"/>
      <c r="E361" s="112"/>
      <c r="F361" s="112"/>
      <c r="G361" s="112"/>
      <c r="H361" s="112"/>
    </row>
    <row r="362" spans="1:8" x14ac:dyDescent="0.15">
      <c r="A362" s="112" t="s">
        <v>443</v>
      </c>
      <c r="B362" s="112"/>
      <c r="C362" s="112"/>
      <c r="D362" s="112"/>
      <c r="E362" s="112"/>
      <c r="F362" s="112"/>
      <c r="G362" s="112"/>
      <c r="H362" s="112"/>
    </row>
    <row r="363" spans="1:8" x14ac:dyDescent="0.15">
      <c r="A363" s="112" t="s">
        <v>444</v>
      </c>
      <c r="B363" s="112"/>
      <c r="C363" s="112"/>
      <c r="D363" s="112"/>
      <c r="E363" s="112"/>
      <c r="F363" s="112"/>
      <c r="G363" s="112"/>
      <c r="H363" s="112"/>
    </row>
    <row r="364" spans="1:8" x14ac:dyDescent="0.15">
      <c r="A364" s="112" t="s">
        <v>445</v>
      </c>
      <c r="B364" s="112"/>
      <c r="C364" s="112"/>
      <c r="D364" s="112"/>
      <c r="E364" s="112"/>
      <c r="F364" s="112"/>
      <c r="G364" s="112"/>
      <c r="H364" s="112"/>
    </row>
    <row r="365" spans="1:8" x14ac:dyDescent="0.15">
      <c r="A365" s="112" t="s">
        <v>446</v>
      </c>
      <c r="B365" s="112"/>
      <c r="C365" s="112"/>
      <c r="D365" s="112"/>
      <c r="E365" s="112"/>
      <c r="F365" s="112"/>
      <c r="G365" s="112"/>
      <c r="H365" s="112"/>
    </row>
    <row r="366" spans="1:8" x14ac:dyDescent="0.15">
      <c r="A366" s="112" t="s">
        <v>447</v>
      </c>
      <c r="B366" s="112"/>
      <c r="C366" s="112"/>
      <c r="D366" s="112"/>
      <c r="E366" s="112"/>
      <c r="F366" s="112"/>
      <c r="G366" s="112"/>
      <c r="H366" s="112"/>
    </row>
    <row r="367" spans="1:8" x14ac:dyDescent="0.15">
      <c r="A367" s="112" t="s">
        <v>448</v>
      </c>
      <c r="B367" s="112"/>
      <c r="C367" s="112"/>
      <c r="D367" s="112"/>
      <c r="E367" s="112"/>
      <c r="F367" s="112"/>
      <c r="G367" s="112"/>
      <c r="H367" s="112"/>
    </row>
    <row r="368" spans="1:8" x14ac:dyDescent="0.15">
      <c r="A368" s="112" t="s">
        <v>449</v>
      </c>
      <c r="B368" s="112"/>
      <c r="C368" s="112"/>
      <c r="D368" s="112"/>
      <c r="E368" s="112"/>
      <c r="F368" s="112"/>
      <c r="G368" s="112"/>
      <c r="H368" s="112"/>
    </row>
    <row r="369" spans="1:8" x14ac:dyDescent="0.15">
      <c r="A369" s="112" t="s">
        <v>450</v>
      </c>
      <c r="B369" s="112"/>
      <c r="C369" s="112"/>
      <c r="D369" s="112"/>
      <c r="E369" s="112"/>
      <c r="F369" s="112"/>
      <c r="G369" s="112"/>
      <c r="H369" s="112"/>
    </row>
    <row r="370" spans="1:8" x14ac:dyDescent="0.15">
      <c r="A370" s="112" t="s">
        <v>451</v>
      </c>
      <c r="B370" s="112"/>
      <c r="C370" s="112"/>
      <c r="D370" s="112"/>
      <c r="E370" s="112"/>
      <c r="F370" s="112"/>
      <c r="G370" s="112"/>
      <c r="H370" s="112"/>
    </row>
    <row r="371" spans="1:8" x14ac:dyDescent="0.15">
      <c r="A371" s="112" t="s">
        <v>452</v>
      </c>
      <c r="B371" s="112"/>
      <c r="C371" s="112"/>
      <c r="D371" s="112"/>
      <c r="E371" s="112"/>
      <c r="F371" s="112"/>
      <c r="G371" s="112"/>
      <c r="H371" s="112"/>
    </row>
    <row r="372" spans="1:8" x14ac:dyDescent="0.15">
      <c r="A372" s="112" t="s">
        <v>453</v>
      </c>
      <c r="B372" s="112"/>
      <c r="C372" s="112"/>
      <c r="D372" s="112"/>
      <c r="E372" s="112"/>
      <c r="F372" s="112"/>
      <c r="G372" s="112"/>
      <c r="H372" s="112"/>
    </row>
    <row r="373" spans="1:8" x14ac:dyDescent="0.15">
      <c r="A373" s="112" t="s">
        <v>454</v>
      </c>
      <c r="B373" s="112"/>
      <c r="C373" s="112"/>
      <c r="D373" s="112"/>
      <c r="E373" s="112"/>
      <c r="F373" s="112"/>
      <c r="G373" s="112"/>
      <c r="H373" s="112"/>
    </row>
    <row r="374" spans="1:8" x14ac:dyDescent="0.15">
      <c r="A374" s="112" t="s">
        <v>455</v>
      </c>
      <c r="B374" s="112"/>
      <c r="C374" s="112"/>
      <c r="D374" s="112"/>
      <c r="E374" s="112"/>
      <c r="F374" s="112"/>
      <c r="G374" s="112"/>
      <c r="H374" s="112"/>
    </row>
    <row r="375" spans="1:8" x14ac:dyDescent="0.15">
      <c r="A375" s="112" t="s">
        <v>456</v>
      </c>
      <c r="B375" s="112"/>
      <c r="C375" s="112"/>
      <c r="D375" s="112"/>
      <c r="E375" s="112"/>
      <c r="F375" s="112"/>
      <c r="G375" s="112"/>
      <c r="H375" s="112"/>
    </row>
    <row r="376" spans="1:8" x14ac:dyDescent="0.15">
      <c r="A376" s="112" t="s">
        <v>457</v>
      </c>
      <c r="B376" s="112"/>
      <c r="C376" s="112"/>
      <c r="D376" s="112"/>
      <c r="E376" s="112"/>
      <c r="F376" s="112"/>
      <c r="G376" s="112"/>
      <c r="H376" s="112"/>
    </row>
    <row r="377" spans="1:8" x14ac:dyDescent="0.15">
      <c r="A377" s="112" t="s">
        <v>458</v>
      </c>
      <c r="B377" s="112"/>
      <c r="C377" s="112"/>
      <c r="D377" s="112"/>
      <c r="E377" s="112"/>
      <c r="F377" s="112"/>
      <c r="G377" s="112"/>
      <c r="H377" s="112"/>
    </row>
    <row r="378" spans="1:8" x14ac:dyDescent="0.15">
      <c r="A378" s="112" t="s">
        <v>459</v>
      </c>
      <c r="B378" s="112"/>
      <c r="C378" s="112"/>
      <c r="D378" s="112"/>
      <c r="E378" s="112"/>
      <c r="F378" s="112"/>
      <c r="G378" s="112"/>
      <c r="H378" s="112"/>
    </row>
    <row r="379" spans="1:8" x14ac:dyDescent="0.15">
      <c r="A379" s="112" t="s">
        <v>460</v>
      </c>
      <c r="B379" s="112"/>
      <c r="C379" s="112"/>
      <c r="D379" s="112"/>
      <c r="E379" s="112"/>
      <c r="F379" s="112"/>
      <c r="G379" s="112"/>
      <c r="H379" s="112"/>
    </row>
    <row r="380" spans="1:8" x14ac:dyDescent="0.15">
      <c r="A380" s="112" t="s">
        <v>461</v>
      </c>
      <c r="B380" s="112"/>
      <c r="C380" s="112"/>
      <c r="D380" s="112"/>
      <c r="E380" s="112"/>
      <c r="F380" s="112"/>
      <c r="G380" s="112"/>
      <c r="H380" s="112"/>
    </row>
    <row r="381" spans="1:8" x14ac:dyDescent="0.15">
      <c r="A381" s="112" t="s">
        <v>462</v>
      </c>
      <c r="B381" s="112"/>
      <c r="C381" s="112"/>
      <c r="D381" s="112"/>
      <c r="E381" s="112"/>
      <c r="F381" s="112"/>
      <c r="G381" s="112"/>
      <c r="H381" s="112"/>
    </row>
    <row r="382" spans="1:8" x14ac:dyDescent="0.15">
      <c r="A382" s="112" t="s">
        <v>463</v>
      </c>
      <c r="B382" s="112"/>
      <c r="C382" s="112"/>
      <c r="D382" s="112"/>
      <c r="E382" s="112"/>
      <c r="F382" s="112"/>
      <c r="G382" s="112"/>
      <c r="H382" s="112"/>
    </row>
    <row r="383" spans="1:8" x14ac:dyDescent="0.15">
      <c r="A383" s="112" t="s">
        <v>464</v>
      </c>
      <c r="B383" s="112"/>
      <c r="C383" s="112"/>
      <c r="D383" s="112"/>
      <c r="E383" s="112"/>
      <c r="F383" s="112"/>
      <c r="G383" s="112"/>
      <c r="H383" s="112"/>
    </row>
    <row r="384" spans="1:8" x14ac:dyDescent="0.15">
      <c r="A384" s="112" t="s">
        <v>465</v>
      </c>
      <c r="B384" s="112"/>
      <c r="C384" s="112"/>
      <c r="D384" s="112"/>
      <c r="E384" s="112"/>
      <c r="F384" s="112"/>
      <c r="G384" s="112"/>
      <c r="H384" s="112"/>
    </row>
    <row r="385" spans="1:8" x14ac:dyDescent="0.15">
      <c r="A385" s="112" t="s">
        <v>466</v>
      </c>
      <c r="B385" s="112"/>
      <c r="C385" s="112"/>
      <c r="D385" s="112"/>
      <c r="E385" s="112"/>
      <c r="F385" s="112"/>
      <c r="G385" s="112"/>
      <c r="H385" s="112"/>
    </row>
    <row r="386" spans="1:8" x14ac:dyDescent="0.15">
      <c r="A386" s="112" t="s">
        <v>467</v>
      </c>
      <c r="B386" s="112"/>
      <c r="C386" s="112"/>
      <c r="D386" s="112"/>
      <c r="E386" s="112"/>
      <c r="F386" s="112"/>
      <c r="G386" s="112"/>
      <c r="H386" s="112"/>
    </row>
    <row r="387" spans="1:8" x14ac:dyDescent="0.15">
      <c r="A387" s="112" t="s">
        <v>468</v>
      </c>
      <c r="B387" s="112"/>
      <c r="C387" s="112"/>
      <c r="D387" s="112"/>
      <c r="E387" s="112"/>
      <c r="F387" s="112"/>
      <c r="G387" s="112"/>
      <c r="H387" s="112"/>
    </row>
    <row r="388" spans="1:8" x14ac:dyDescent="0.15">
      <c r="A388" s="112" t="s">
        <v>469</v>
      </c>
      <c r="B388" s="112"/>
      <c r="C388" s="112"/>
      <c r="D388" s="112"/>
      <c r="E388" s="112"/>
      <c r="F388" s="112"/>
      <c r="G388" s="112"/>
      <c r="H388" s="112"/>
    </row>
    <row r="389" spans="1:8" x14ac:dyDescent="0.15">
      <c r="A389" s="112" t="s">
        <v>470</v>
      </c>
      <c r="B389" s="112"/>
      <c r="C389" s="112"/>
      <c r="D389" s="112"/>
      <c r="E389" s="112"/>
      <c r="F389" s="112"/>
      <c r="G389" s="112"/>
      <c r="H389" s="112"/>
    </row>
    <row r="390" spans="1:8" x14ac:dyDescent="0.15">
      <c r="A390" s="112" t="s">
        <v>471</v>
      </c>
      <c r="B390" s="112"/>
      <c r="C390" s="112"/>
      <c r="D390" s="112"/>
      <c r="E390" s="112"/>
      <c r="F390" s="112"/>
      <c r="G390" s="112"/>
      <c r="H390" s="112"/>
    </row>
    <row r="391" spans="1:8" x14ac:dyDescent="0.15">
      <c r="A391" s="112" t="s">
        <v>472</v>
      </c>
      <c r="B391" s="112"/>
      <c r="C391" s="112"/>
      <c r="D391" s="112"/>
      <c r="E391" s="112"/>
      <c r="F391" s="112"/>
      <c r="G391" s="112"/>
      <c r="H391" s="112"/>
    </row>
    <row r="392" spans="1:8" x14ac:dyDescent="0.15">
      <c r="A392" s="112" t="s">
        <v>473</v>
      </c>
      <c r="B392" s="112"/>
      <c r="C392" s="112"/>
      <c r="D392" s="112"/>
      <c r="E392" s="112"/>
      <c r="F392" s="112"/>
      <c r="G392" s="112"/>
      <c r="H392" s="112"/>
    </row>
    <row r="393" spans="1:8" x14ac:dyDescent="0.15">
      <c r="A393" s="112" t="s">
        <v>474</v>
      </c>
      <c r="B393" s="112"/>
      <c r="C393" s="112"/>
      <c r="D393" s="112"/>
      <c r="E393" s="112"/>
      <c r="F393" s="112"/>
      <c r="G393" s="112"/>
      <c r="H393" s="112"/>
    </row>
    <row r="394" spans="1:8" x14ac:dyDescent="0.15">
      <c r="A394" s="112" t="s">
        <v>475</v>
      </c>
      <c r="B394" s="112"/>
      <c r="C394" s="112"/>
      <c r="D394" s="112"/>
      <c r="E394" s="112"/>
      <c r="F394" s="112"/>
      <c r="G394" s="112"/>
      <c r="H394" s="112"/>
    </row>
    <row r="395" spans="1:8" x14ac:dyDescent="0.15">
      <c r="A395" s="112" t="s">
        <v>476</v>
      </c>
      <c r="B395" s="112"/>
      <c r="C395" s="112"/>
      <c r="D395" s="112"/>
      <c r="E395" s="112"/>
      <c r="F395" s="112"/>
      <c r="G395" s="112"/>
      <c r="H395" s="112"/>
    </row>
    <row r="396" spans="1:8" x14ac:dyDescent="0.15">
      <c r="A396" s="112" t="s">
        <v>477</v>
      </c>
      <c r="B396" s="112"/>
      <c r="C396" s="112"/>
      <c r="D396" s="112"/>
      <c r="E396" s="112"/>
      <c r="F396" s="112"/>
      <c r="G396" s="112"/>
      <c r="H396" s="112"/>
    </row>
    <row r="397" spans="1:8" x14ac:dyDescent="0.15">
      <c r="A397" s="112" t="s">
        <v>478</v>
      </c>
      <c r="B397" s="112"/>
      <c r="C397" s="112"/>
      <c r="D397" s="112"/>
      <c r="E397" s="112"/>
      <c r="F397" s="112"/>
      <c r="G397" s="112"/>
      <c r="H397" s="112"/>
    </row>
    <row r="398" spans="1:8" x14ac:dyDescent="0.15">
      <c r="A398" s="112" t="s">
        <v>479</v>
      </c>
      <c r="B398" s="112"/>
      <c r="C398" s="112"/>
      <c r="D398" s="112"/>
      <c r="E398" s="112"/>
      <c r="F398" s="112"/>
      <c r="G398" s="112"/>
      <c r="H398" s="112"/>
    </row>
    <row r="399" spans="1:8" x14ac:dyDescent="0.15">
      <c r="A399" s="112" t="s">
        <v>480</v>
      </c>
      <c r="B399" s="112"/>
      <c r="C399" s="112"/>
      <c r="D399" s="112"/>
      <c r="E399" s="112"/>
      <c r="F399" s="112"/>
      <c r="G399" s="112"/>
      <c r="H399" s="112"/>
    </row>
    <row r="400" spans="1:8" x14ac:dyDescent="0.15">
      <c r="A400" s="112" t="s">
        <v>481</v>
      </c>
      <c r="B400" s="112"/>
      <c r="C400" s="112"/>
      <c r="D400" s="112"/>
      <c r="E400" s="112"/>
      <c r="F400" s="112"/>
      <c r="G400" s="112"/>
      <c r="H400" s="112"/>
    </row>
    <row r="401" spans="1:8" x14ac:dyDescent="0.15">
      <c r="A401" s="112" t="s">
        <v>482</v>
      </c>
      <c r="B401" s="112"/>
      <c r="C401" s="112"/>
      <c r="D401" s="112"/>
      <c r="E401" s="112"/>
      <c r="F401" s="112"/>
      <c r="G401" s="112"/>
      <c r="H401" s="112"/>
    </row>
    <row r="402" spans="1:8" x14ac:dyDescent="0.15">
      <c r="A402" s="112" t="s">
        <v>483</v>
      </c>
      <c r="B402" s="112"/>
      <c r="C402" s="112"/>
      <c r="D402" s="112"/>
      <c r="E402" s="112"/>
      <c r="F402" s="112"/>
      <c r="G402" s="112"/>
      <c r="H402" s="112"/>
    </row>
    <row r="403" spans="1:8" x14ac:dyDescent="0.15">
      <c r="A403" s="112" t="s">
        <v>484</v>
      </c>
      <c r="B403" s="112"/>
      <c r="C403" s="112"/>
      <c r="D403" s="112"/>
      <c r="E403" s="112"/>
      <c r="F403" s="112"/>
      <c r="G403" s="112"/>
      <c r="H403" s="112"/>
    </row>
    <row r="404" spans="1:8" x14ac:dyDescent="0.15">
      <c r="A404" s="112" t="s">
        <v>485</v>
      </c>
      <c r="B404" s="112"/>
      <c r="C404" s="112"/>
      <c r="D404" s="112"/>
      <c r="E404" s="112"/>
      <c r="F404" s="112"/>
      <c r="G404" s="112"/>
      <c r="H404" s="112"/>
    </row>
    <row r="405" spans="1:8" x14ac:dyDescent="0.15">
      <c r="A405" s="112" t="s">
        <v>486</v>
      </c>
      <c r="B405" s="112"/>
      <c r="C405" s="112"/>
      <c r="D405" s="112"/>
      <c r="E405" s="112"/>
      <c r="F405" s="112"/>
      <c r="G405" s="112"/>
      <c r="H405" s="112"/>
    </row>
    <row r="406" spans="1:8" x14ac:dyDescent="0.15">
      <c r="A406" s="112" t="s">
        <v>487</v>
      </c>
      <c r="B406" s="112"/>
      <c r="C406" s="112"/>
      <c r="D406" s="112"/>
      <c r="E406" s="112"/>
      <c r="F406" s="112"/>
      <c r="G406" s="112"/>
      <c r="H406" s="112"/>
    </row>
    <row r="407" spans="1:8" x14ac:dyDescent="0.15">
      <c r="A407" s="112" t="s">
        <v>488</v>
      </c>
      <c r="B407" s="112"/>
      <c r="C407" s="112"/>
      <c r="D407" s="112"/>
      <c r="E407" s="112"/>
      <c r="F407" s="112"/>
      <c r="G407" s="112"/>
      <c r="H407" s="112"/>
    </row>
    <row r="408" spans="1:8" x14ac:dyDescent="0.15">
      <c r="A408" s="112" t="s">
        <v>489</v>
      </c>
      <c r="B408" s="112"/>
      <c r="C408" s="112"/>
      <c r="D408" s="112"/>
      <c r="E408" s="112"/>
      <c r="F408" s="112"/>
      <c r="G408" s="112"/>
      <c r="H408" s="112"/>
    </row>
    <row r="409" spans="1:8" x14ac:dyDescent="0.15">
      <c r="A409" s="112" t="s">
        <v>490</v>
      </c>
      <c r="B409" s="112"/>
      <c r="C409" s="112"/>
      <c r="D409" s="112"/>
      <c r="E409" s="112"/>
      <c r="F409" s="112"/>
      <c r="G409" s="112"/>
      <c r="H409" s="112"/>
    </row>
    <row r="410" spans="1:8" x14ac:dyDescent="0.15">
      <c r="A410" s="112" t="s">
        <v>491</v>
      </c>
      <c r="B410" s="112"/>
      <c r="C410" s="112"/>
      <c r="D410" s="112"/>
      <c r="E410" s="112"/>
      <c r="F410" s="112"/>
      <c r="G410" s="112"/>
      <c r="H410" s="112"/>
    </row>
    <row r="411" spans="1:8" x14ac:dyDescent="0.15">
      <c r="A411" s="112" t="s">
        <v>492</v>
      </c>
      <c r="B411" s="112"/>
      <c r="C411" s="112"/>
      <c r="D411" s="112"/>
      <c r="E411" s="112"/>
      <c r="F411" s="112"/>
      <c r="G411" s="112"/>
      <c r="H411" s="112"/>
    </row>
    <row r="412" spans="1:8" x14ac:dyDescent="0.15">
      <c r="A412" s="112" t="s">
        <v>493</v>
      </c>
      <c r="B412" s="112"/>
      <c r="C412" s="112"/>
      <c r="D412" s="112"/>
      <c r="E412" s="112"/>
      <c r="F412" s="112"/>
      <c r="G412" s="112"/>
      <c r="H412" s="112"/>
    </row>
    <row r="413" spans="1:8" x14ac:dyDescent="0.15">
      <c r="A413" s="112" t="s">
        <v>494</v>
      </c>
      <c r="B413" s="112"/>
      <c r="C413" s="112"/>
      <c r="D413" s="112"/>
      <c r="E413" s="112"/>
      <c r="F413" s="112"/>
      <c r="G413" s="112"/>
      <c r="H413" s="112"/>
    </row>
    <row r="414" spans="1:8" x14ac:dyDescent="0.15">
      <c r="A414" s="112" t="s">
        <v>495</v>
      </c>
      <c r="B414" s="112"/>
      <c r="C414" s="112"/>
      <c r="D414" s="112"/>
      <c r="E414" s="112"/>
      <c r="F414" s="112"/>
      <c r="G414" s="112"/>
      <c r="H414" s="112"/>
    </row>
    <row r="415" spans="1:8" x14ac:dyDescent="0.15">
      <c r="A415" s="112" t="s">
        <v>496</v>
      </c>
      <c r="B415" s="112"/>
      <c r="C415" s="112"/>
      <c r="D415" s="112"/>
      <c r="E415" s="112"/>
      <c r="F415" s="112"/>
      <c r="G415" s="112"/>
      <c r="H415" s="112"/>
    </row>
    <row r="416" spans="1:8" x14ac:dyDescent="0.15">
      <c r="A416" s="112" t="s">
        <v>497</v>
      </c>
      <c r="B416" s="112"/>
      <c r="C416" s="112"/>
      <c r="D416" s="112"/>
      <c r="E416" s="112"/>
      <c r="F416" s="112"/>
      <c r="G416" s="112"/>
      <c r="H416" s="112"/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7"/>
  <sheetViews>
    <sheetView topLeftCell="A151" workbookViewId="0">
      <selection activeCell="B1" sqref="B1:E1048576"/>
    </sheetView>
  </sheetViews>
  <sheetFormatPr defaultColWidth="9" defaultRowHeight="14.25" x14ac:dyDescent="0.15"/>
  <cols>
    <col min="1" max="1" width="57.625" style="21" customWidth="1"/>
    <col min="2" max="8" width="9" style="21"/>
    <col min="9" max="9" width="10.125" style="21" bestFit="1" customWidth="1"/>
    <col min="10" max="10" width="9.125" style="21" bestFit="1" customWidth="1"/>
    <col min="11" max="16384" width="9" style="21"/>
  </cols>
  <sheetData>
    <row r="1" spans="1:7" ht="15" x14ac:dyDescent="0.2">
      <c r="A1" s="21" t="s">
        <v>499</v>
      </c>
      <c r="B1" s="132">
        <v>875.22</v>
      </c>
      <c r="C1" s="132">
        <v>36.538699999999999</v>
      </c>
      <c r="D1" s="132">
        <v>44.9649</v>
      </c>
      <c r="E1" s="132">
        <v>42.244799999999998</v>
      </c>
      <c r="F1" s="110">
        <v>100151.84</v>
      </c>
      <c r="G1" s="21">
        <v>32.700000000000003</v>
      </c>
    </row>
    <row r="2" spans="1:7" ht="15" x14ac:dyDescent="0.2">
      <c r="A2" s="21" t="s">
        <v>500</v>
      </c>
      <c r="B2" s="132">
        <v>505.92</v>
      </c>
      <c r="C2" s="132">
        <v>34.409300000000002</v>
      </c>
      <c r="D2" s="132">
        <v>42.7425</v>
      </c>
      <c r="E2" s="132">
        <v>39.696800000000003</v>
      </c>
      <c r="F2" s="110">
        <v>41476.04</v>
      </c>
      <c r="G2" s="21">
        <v>24.75</v>
      </c>
    </row>
    <row r="3" spans="1:7" ht="15" x14ac:dyDescent="0.2">
      <c r="A3" s="21" t="s">
        <v>501</v>
      </c>
      <c r="B3" s="132">
        <v>287.82</v>
      </c>
      <c r="C3" s="132">
        <v>32.022599999999997</v>
      </c>
      <c r="D3" s="132">
        <v>40.166499999999999</v>
      </c>
      <c r="E3" s="132">
        <v>36.682099999999998</v>
      </c>
      <c r="F3" s="110">
        <v>17090.45</v>
      </c>
      <c r="G3" s="21">
        <v>22.68</v>
      </c>
    </row>
    <row r="4" spans="1:7" ht="15" x14ac:dyDescent="0.2">
      <c r="A4" s="21" t="s">
        <v>502</v>
      </c>
      <c r="B4" s="132">
        <v>164.58</v>
      </c>
      <c r="C4" s="132">
        <v>29.383299999999998</v>
      </c>
      <c r="D4" s="132">
        <v>36.188800000000001</v>
      </c>
      <c r="E4" s="132">
        <v>33.5595</v>
      </c>
      <c r="F4" s="110">
        <v>5799.28</v>
      </c>
      <c r="G4" s="21">
        <v>20.02</v>
      </c>
    </row>
    <row r="5" spans="1:7" ht="15" x14ac:dyDescent="0.2">
      <c r="A5" s="21" t="s">
        <v>503</v>
      </c>
      <c r="B5" s="132">
        <v>753.66</v>
      </c>
      <c r="C5" s="132">
        <v>41.377200000000002</v>
      </c>
      <c r="D5" s="132">
        <v>45.0762</v>
      </c>
      <c r="E5" s="132">
        <v>45.132800000000003</v>
      </c>
      <c r="F5" s="110">
        <v>66879.649999999994</v>
      </c>
      <c r="G5" s="21">
        <v>30.02</v>
      </c>
    </row>
    <row r="6" spans="1:7" ht="15" x14ac:dyDescent="0.2">
      <c r="A6" s="21" t="s">
        <v>504</v>
      </c>
      <c r="B6" s="132">
        <v>473.04</v>
      </c>
      <c r="C6" s="132">
        <v>38.828699999999998</v>
      </c>
      <c r="D6" s="132">
        <v>42.273499999999999</v>
      </c>
      <c r="E6" s="132">
        <v>42.234000000000002</v>
      </c>
      <c r="F6" s="110">
        <v>32327.55</v>
      </c>
      <c r="G6" s="21">
        <v>27.81</v>
      </c>
    </row>
    <row r="7" spans="1:7" ht="15" x14ac:dyDescent="0.2">
      <c r="A7" s="21" t="s">
        <v>505</v>
      </c>
      <c r="B7" s="132">
        <v>290.45999999999998</v>
      </c>
      <c r="C7" s="132">
        <v>35.744900000000001</v>
      </c>
      <c r="D7" s="132">
        <v>39.196399999999997</v>
      </c>
      <c r="E7" s="132">
        <v>39.299999999999997</v>
      </c>
      <c r="F7" s="110">
        <v>19584.21</v>
      </c>
      <c r="G7" s="21">
        <v>24.36</v>
      </c>
    </row>
    <row r="8" spans="1:7" ht="15" x14ac:dyDescent="0.2">
      <c r="A8" s="21" t="s">
        <v>506</v>
      </c>
      <c r="B8" s="132">
        <v>180.12</v>
      </c>
      <c r="C8" s="132">
        <v>32.665900000000001</v>
      </c>
      <c r="D8" s="132">
        <v>36.378999999999998</v>
      </c>
      <c r="E8" s="132">
        <v>35.558799999999998</v>
      </c>
      <c r="F8" s="110">
        <v>9432.86</v>
      </c>
      <c r="G8" s="21">
        <v>22.65</v>
      </c>
    </row>
    <row r="9" spans="1:7" ht="15" x14ac:dyDescent="0.2">
      <c r="A9" s="21" t="s">
        <v>507</v>
      </c>
      <c r="B9" s="132">
        <v>903.81</v>
      </c>
      <c r="C9" s="132">
        <v>34.735999999999997</v>
      </c>
      <c r="D9" s="132">
        <v>34.6755</v>
      </c>
      <c r="E9" s="132">
        <v>36.8247</v>
      </c>
      <c r="F9" s="110">
        <v>89883.69</v>
      </c>
      <c r="G9" s="21">
        <v>40.94</v>
      </c>
    </row>
    <row r="10" spans="1:7" ht="15" x14ac:dyDescent="0.2">
      <c r="A10" s="21" t="s">
        <v>508</v>
      </c>
      <c r="B10" s="132">
        <v>421.35</v>
      </c>
      <c r="C10" s="132">
        <v>32.924799999999998</v>
      </c>
      <c r="D10" s="132">
        <v>32.182600000000001</v>
      </c>
      <c r="E10" s="132">
        <v>34.695900000000002</v>
      </c>
      <c r="F10" s="110">
        <v>62300.29</v>
      </c>
      <c r="G10" s="21">
        <v>33.67</v>
      </c>
    </row>
    <row r="11" spans="1:7" ht="15" x14ac:dyDescent="0.2">
      <c r="A11" s="21" t="s">
        <v>509</v>
      </c>
      <c r="B11" s="132">
        <v>197.76</v>
      </c>
      <c r="C11" s="132">
        <v>30.855699999999999</v>
      </c>
      <c r="D11" s="132">
        <v>30.369299999999999</v>
      </c>
      <c r="E11" s="132">
        <v>32.517699999999998</v>
      </c>
      <c r="F11" s="110">
        <v>35728.26</v>
      </c>
      <c r="G11" s="21">
        <v>23.38</v>
      </c>
    </row>
    <row r="12" spans="1:7" ht="15" x14ac:dyDescent="0.2">
      <c r="A12" s="21" t="s">
        <v>510</v>
      </c>
      <c r="B12" s="132">
        <v>93.87</v>
      </c>
      <c r="C12" s="132">
        <v>28.816600000000001</v>
      </c>
      <c r="D12" s="132">
        <v>28.820799999999998</v>
      </c>
      <c r="E12" s="132">
        <v>30.327000000000002</v>
      </c>
      <c r="F12" s="110">
        <v>17013.12</v>
      </c>
      <c r="G12" s="21">
        <v>20.329999999999998</v>
      </c>
    </row>
    <row r="13" spans="1:7" ht="15" x14ac:dyDescent="0.2">
      <c r="A13" s="21" t="s">
        <v>511</v>
      </c>
      <c r="B13" s="132">
        <v>1978.74</v>
      </c>
      <c r="C13" s="132">
        <v>34.237299999999998</v>
      </c>
      <c r="D13" s="132">
        <v>38.653300000000002</v>
      </c>
      <c r="E13" s="132">
        <v>37.915500000000002</v>
      </c>
      <c r="F13" s="110">
        <v>103692.53</v>
      </c>
      <c r="G13" s="21">
        <v>43.24</v>
      </c>
    </row>
    <row r="14" spans="1:7" ht="15" x14ac:dyDescent="0.2">
      <c r="A14" s="21" t="s">
        <v>512</v>
      </c>
      <c r="B14" s="132">
        <v>1024.68</v>
      </c>
      <c r="C14" s="132">
        <v>31.581499999999998</v>
      </c>
      <c r="D14" s="132">
        <v>36.803100000000001</v>
      </c>
      <c r="E14" s="132">
        <v>35.568399999999997</v>
      </c>
      <c r="F14" s="110">
        <v>57351.23</v>
      </c>
      <c r="G14" s="21">
        <v>31.15</v>
      </c>
    </row>
    <row r="15" spans="1:7" ht="15" x14ac:dyDescent="0.2">
      <c r="A15" s="21" t="s">
        <v>513</v>
      </c>
      <c r="B15" s="132">
        <v>485.22</v>
      </c>
      <c r="C15" s="132">
        <v>28.912400000000002</v>
      </c>
      <c r="D15" s="132">
        <v>34.7517</v>
      </c>
      <c r="E15" s="132">
        <v>33.017800000000001</v>
      </c>
      <c r="F15" s="110">
        <v>30978.03</v>
      </c>
      <c r="G15" s="21">
        <v>26.63</v>
      </c>
    </row>
    <row r="16" spans="1:7" ht="15" x14ac:dyDescent="0.2">
      <c r="A16" s="21" t="s">
        <v>514</v>
      </c>
      <c r="B16" s="132">
        <v>220.56</v>
      </c>
      <c r="C16" s="132">
        <v>26.611499999999999</v>
      </c>
      <c r="D16" s="132">
        <v>32.431399999999996</v>
      </c>
      <c r="E16" s="132">
        <v>30.763999999999999</v>
      </c>
      <c r="F16" s="110">
        <v>16477.59</v>
      </c>
      <c r="G16" s="21">
        <v>24.23</v>
      </c>
    </row>
    <row r="17" spans="1:7" ht="15" x14ac:dyDescent="0.2">
      <c r="A17" s="21" t="s">
        <v>515</v>
      </c>
      <c r="B17" s="132">
        <v>1624.62</v>
      </c>
      <c r="C17" s="132">
        <v>33.246400000000001</v>
      </c>
      <c r="D17" s="132">
        <v>41.7346</v>
      </c>
      <c r="E17" s="132">
        <v>38.932299999999998</v>
      </c>
      <c r="F17" s="110">
        <v>134480.18</v>
      </c>
      <c r="G17" s="21">
        <v>50.75</v>
      </c>
    </row>
    <row r="18" spans="1:7" ht="15" x14ac:dyDescent="0.2">
      <c r="A18" s="21" t="s">
        <v>516</v>
      </c>
      <c r="B18" s="132">
        <v>799.14</v>
      </c>
      <c r="C18" s="132">
        <v>31.037299999999998</v>
      </c>
      <c r="D18" s="132">
        <v>39.8339</v>
      </c>
      <c r="E18" s="132">
        <v>37.502000000000002</v>
      </c>
      <c r="F18" s="110">
        <v>74952.3</v>
      </c>
      <c r="G18" s="21">
        <v>30.48</v>
      </c>
    </row>
    <row r="19" spans="1:7" ht="15" x14ac:dyDescent="0.2">
      <c r="A19" s="21" t="s">
        <v>517</v>
      </c>
      <c r="B19" s="132">
        <v>367.44</v>
      </c>
      <c r="C19" s="132">
        <v>28.796600000000002</v>
      </c>
      <c r="D19" s="132">
        <v>37.937399999999997</v>
      </c>
      <c r="E19" s="132">
        <v>35.995699999999999</v>
      </c>
      <c r="F19" s="110">
        <v>38175.85</v>
      </c>
      <c r="G19" s="21">
        <v>26.55</v>
      </c>
    </row>
    <row r="20" spans="1:7" ht="15" x14ac:dyDescent="0.2">
      <c r="A20" s="21" t="s">
        <v>518</v>
      </c>
      <c r="B20" s="132">
        <v>172.98</v>
      </c>
      <c r="C20" s="132">
        <v>26.741199999999999</v>
      </c>
      <c r="D20" s="132">
        <v>36.2761</v>
      </c>
      <c r="E20" s="132">
        <v>34.249200000000002</v>
      </c>
      <c r="F20" s="110">
        <v>18622.23</v>
      </c>
      <c r="G20" s="21">
        <v>22.28</v>
      </c>
    </row>
    <row r="21" spans="1:7" ht="15" x14ac:dyDescent="0.2">
      <c r="A21" s="21" t="s">
        <v>519</v>
      </c>
      <c r="B21" s="132">
        <v>3686.95</v>
      </c>
      <c r="C21" s="132">
        <v>33.1218</v>
      </c>
      <c r="D21" s="132">
        <v>30.2334</v>
      </c>
      <c r="E21" s="132">
        <v>32.247700000000002</v>
      </c>
      <c r="F21" s="110">
        <v>109751.54</v>
      </c>
      <c r="G21" s="21">
        <v>46.3</v>
      </c>
    </row>
    <row r="22" spans="1:7" ht="15" x14ac:dyDescent="0.2">
      <c r="A22" s="21" t="s">
        <v>520</v>
      </c>
      <c r="B22" s="132">
        <v>1476.8</v>
      </c>
      <c r="C22" s="132">
        <v>30.296299999999999</v>
      </c>
      <c r="D22" s="132">
        <v>28.563400000000001</v>
      </c>
      <c r="E22" s="132">
        <v>31.003299999999999</v>
      </c>
      <c r="F22" s="110">
        <v>78902.320000000007</v>
      </c>
      <c r="G22" s="21">
        <v>40.26</v>
      </c>
    </row>
    <row r="23" spans="1:7" ht="15" x14ac:dyDescent="0.2">
      <c r="A23" s="21" t="s">
        <v>521</v>
      </c>
      <c r="B23" s="132">
        <v>581.9</v>
      </c>
      <c r="C23" s="132">
        <v>27.769200000000001</v>
      </c>
      <c r="D23" s="132">
        <v>27.695499999999999</v>
      </c>
      <c r="E23" s="132">
        <v>30.3416</v>
      </c>
      <c r="F23" s="110">
        <v>58425.91</v>
      </c>
      <c r="G23" s="21">
        <v>34.6</v>
      </c>
    </row>
    <row r="24" spans="1:7" ht="15" x14ac:dyDescent="0.2">
      <c r="A24" s="21" t="s">
        <v>522</v>
      </c>
      <c r="B24" s="132">
        <v>225.65</v>
      </c>
      <c r="C24" s="132">
        <v>25.704000000000001</v>
      </c>
      <c r="D24" s="132">
        <v>27.1249</v>
      </c>
      <c r="E24" s="132">
        <v>29.651599999999998</v>
      </c>
      <c r="F24" s="110">
        <v>35054.81</v>
      </c>
      <c r="G24" s="21">
        <v>28.93</v>
      </c>
    </row>
    <row r="25" spans="1:7" ht="15" x14ac:dyDescent="0.2">
      <c r="A25" s="21" t="s">
        <v>523</v>
      </c>
      <c r="B25" s="132">
        <v>603.54</v>
      </c>
      <c r="C25" s="132">
        <v>33.486899999999999</v>
      </c>
      <c r="D25" s="132">
        <v>39.658099999999997</v>
      </c>
      <c r="E25" s="132">
        <v>40.455599999999997</v>
      </c>
      <c r="F25" s="110">
        <v>56203.65</v>
      </c>
      <c r="G25" s="21">
        <v>21.31</v>
      </c>
    </row>
    <row r="26" spans="1:7" ht="15" x14ac:dyDescent="0.2">
      <c r="A26" s="21" t="s">
        <v>524</v>
      </c>
      <c r="B26" s="132">
        <v>279.18</v>
      </c>
      <c r="C26" s="132">
        <v>31.235099999999999</v>
      </c>
      <c r="D26" s="132">
        <v>37.924599999999998</v>
      </c>
      <c r="E26" s="132">
        <v>38.433999999999997</v>
      </c>
      <c r="F26" s="110">
        <v>36968.339999999997</v>
      </c>
      <c r="G26" s="21">
        <v>17.43</v>
      </c>
    </row>
    <row r="27" spans="1:7" ht="15" x14ac:dyDescent="0.2">
      <c r="A27" s="21" t="s">
        <v>525</v>
      </c>
      <c r="B27" s="132">
        <v>131.76</v>
      </c>
      <c r="C27" s="132">
        <v>29.232800000000001</v>
      </c>
      <c r="D27" s="132">
        <v>36.335500000000003</v>
      </c>
      <c r="E27" s="132">
        <v>36.308399999999999</v>
      </c>
      <c r="F27" s="110">
        <v>23988.959999999999</v>
      </c>
      <c r="G27" s="21">
        <v>13.69</v>
      </c>
    </row>
    <row r="28" spans="1:7" ht="15" x14ac:dyDescent="0.2">
      <c r="A28" s="21" t="s">
        <v>526</v>
      </c>
      <c r="B28" s="132">
        <v>64.56</v>
      </c>
      <c r="C28" s="132">
        <v>27.217099999999999</v>
      </c>
      <c r="D28" s="132">
        <v>34.498600000000003</v>
      </c>
      <c r="E28" s="132">
        <v>34.1845</v>
      </c>
      <c r="F28" s="110">
        <v>13626.85</v>
      </c>
      <c r="G28" s="21">
        <v>11.92</v>
      </c>
    </row>
    <row r="29" spans="1:7" ht="15" x14ac:dyDescent="0.2">
      <c r="A29" s="21" t="s">
        <v>527</v>
      </c>
      <c r="B29" s="132">
        <v>347.94</v>
      </c>
      <c r="C29" s="132">
        <v>37.678699999999999</v>
      </c>
      <c r="D29" s="132">
        <v>42.471400000000003</v>
      </c>
      <c r="E29" s="132">
        <v>43.043500000000002</v>
      </c>
      <c r="F29" s="110">
        <v>36860.89</v>
      </c>
      <c r="G29" s="21">
        <v>19.47</v>
      </c>
    </row>
    <row r="30" spans="1:7" ht="15" x14ac:dyDescent="0.2">
      <c r="A30" s="21" t="s">
        <v>528</v>
      </c>
      <c r="B30" s="132">
        <v>190.44</v>
      </c>
      <c r="C30" s="132">
        <v>34.703800000000001</v>
      </c>
      <c r="D30" s="132">
        <v>40.570500000000003</v>
      </c>
      <c r="E30" s="132">
        <v>40.3962</v>
      </c>
      <c r="F30" s="110">
        <v>24794.23</v>
      </c>
      <c r="G30" s="21">
        <v>16.440000000000001</v>
      </c>
    </row>
    <row r="31" spans="1:7" ht="15" x14ac:dyDescent="0.2">
      <c r="A31" s="21" t="s">
        <v>529</v>
      </c>
      <c r="B31" s="132">
        <v>105.54</v>
      </c>
      <c r="C31" s="132">
        <v>31.9129</v>
      </c>
      <c r="D31" s="132">
        <v>39.308</v>
      </c>
      <c r="E31" s="132">
        <v>37.468200000000003</v>
      </c>
      <c r="F31" s="110">
        <v>17211.490000000002</v>
      </c>
      <c r="G31" s="21">
        <v>13.82</v>
      </c>
    </row>
    <row r="32" spans="1:7" ht="15" x14ac:dyDescent="0.2">
      <c r="A32" s="21" t="s">
        <v>530</v>
      </c>
      <c r="B32" s="132">
        <v>58.56</v>
      </c>
      <c r="C32" s="132">
        <v>29.0381</v>
      </c>
      <c r="D32" s="132">
        <v>37.529600000000002</v>
      </c>
      <c r="E32" s="132">
        <v>34.677700000000002</v>
      </c>
      <c r="F32" s="110">
        <v>9632.09</v>
      </c>
      <c r="G32" s="21">
        <v>11.53</v>
      </c>
    </row>
    <row r="33" spans="1:9" ht="15" x14ac:dyDescent="0.2">
      <c r="A33" s="21" t="s">
        <v>531</v>
      </c>
      <c r="B33" s="132">
        <v>846.3</v>
      </c>
      <c r="C33" s="132">
        <v>31.233599999999999</v>
      </c>
      <c r="D33" s="132">
        <v>36.371200000000002</v>
      </c>
      <c r="E33" s="132">
        <v>37.228400000000001</v>
      </c>
      <c r="F33" s="110">
        <v>61474.18</v>
      </c>
      <c r="G33" s="21">
        <v>24.06</v>
      </c>
    </row>
    <row r="34" spans="1:9" ht="15" x14ac:dyDescent="0.2">
      <c r="A34" s="21" t="s">
        <v>532</v>
      </c>
      <c r="B34" s="132">
        <v>404.5</v>
      </c>
      <c r="C34" s="132">
        <v>28.6037</v>
      </c>
      <c r="D34" s="132">
        <v>34.673499999999997</v>
      </c>
      <c r="E34" s="132">
        <v>34.820900000000002</v>
      </c>
      <c r="F34" s="110">
        <v>40598.339999999997</v>
      </c>
      <c r="G34" s="21">
        <v>17.39</v>
      </c>
    </row>
    <row r="35" spans="1:9" ht="15" x14ac:dyDescent="0.2">
      <c r="A35" s="21" t="s">
        <v>533</v>
      </c>
      <c r="B35" s="132">
        <v>180.85</v>
      </c>
      <c r="C35" s="132">
        <v>26.184899999999999</v>
      </c>
      <c r="D35" s="132">
        <v>33.0794</v>
      </c>
      <c r="E35" s="132">
        <v>32.547600000000003</v>
      </c>
      <c r="F35" s="110">
        <v>26105.279999999999</v>
      </c>
      <c r="G35" s="21">
        <v>14.48</v>
      </c>
    </row>
    <row r="36" spans="1:9" ht="15" x14ac:dyDescent="0.2">
      <c r="A36" s="21" t="s">
        <v>534</v>
      </c>
      <c r="B36" s="132">
        <v>81.3</v>
      </c>
      <c r="C36" s="132">
        <v>24.203700000000001</v>
      </c>
      <c r="D36" s="132">
        <v>31.3127</v>
      </c>
      <c r="E36" s="132">
        <v>29.927499999999998</v>
      </c>
      <c r="F36" s="110">
        <v>14875.76</v>
      </c>
      <c r="G36" s="21">
        <v>10.95</v>
      </c>
    </row>
    <row r="37" spans="1:9" ht="15" x14ac:dyDescent="0.2">
      <c r="A37" s="21" t="s">
        <v>535</v>
      </c>
      <c r="B37" s="132">
        <v>394.5</v>
      </c>
      <c r="C37" s="132">
        <v>34.915999999999997</v>
      </c>
      <c r="D37" s="132">
        <v>40.601599999999998</v>
      </c>
      <c r="E37" s="132">
        <v>40.091700000000003</v>
      </c>
      <c r="F37" s="110">
        <v>51499.28</v>
      </c>
      <c r="G37" s="21">
        <v>20.55</v>
      </c>
    </row>
    <row r="38" spans="1:9" ht="15" x14ac:dyDescent="0.2">
      <c r="A38" s="21" t="s">
        <v>536</v>
      </c>
      <c r="B38" s="132">
        <v>212.4</v>
      </c>
      <c r="C38" s="132">
        <v>32.564799999999998</v>
      </c>
      <c r="D38" s="132">
        <v>38.332900000000002</v>
      </c>
      <c r="E38" s="132">
        <v>37.491500000000002</v>
      </c>
      <c r="F38" s="110">
        <v>34059.589999999997</v>
      </c>
      <c r="G38" s="21">
        <v>15.48</v>
      </c>
    </row>
    <row r="39" spans="1:9" ht="15" x14ac:dyDescent="0.2">
      <c r="A39" s="21" t="s">
        <v>537</v>
      </c>
      <c r="B39" s="132">
        <v>111.85</v>
      </c>
      <c r="C39" s="132">
        <v>29.984200000000001</v>
      </c>
      <c r="D39" s="132">
        <v>36.329500000000003</v>
      </c>
      <c r="E39" s="132">
        <v>35.211300000000001</v>
      </c>
      <c r="F39" s="110">
        <v>19175.439999999999</v>
      </c>
      <c r="G39" s="21">
        <v>12.41</v>
      </c>
    </row>
    <row r="40" spans="1:9" ht="15" x14ac:dyDescent="0.2">
      <c r="A40" s="21" t="s">
        <v>538</v>
      </c>
      <c r="B40" s="132">
        <v>59.25</v>
      </c>
      <c r="C40" s="132">
        <v>27.427099999999999</v>
      </c>
      <c r="D40" s="132">
        <v>33.824100000000001</v>
      </c>
      <c r="E40" s="132">
        <v>32.298699999999997</v>
      </c>
      <c r="F40" s="110">
        <v>9343.8799999999992</v>
      </c>
      <c r="G40" s="21">
        <v>10.43</v>
      </c>
    </row>
    <row r="41" spans="1:9" ht="15" x14ac:dyDescent="0.2">
      <c r="A41" s="21" t="s">
        <v>539</v>
      </c>
      <c r="B41" s="132">
        <v>1617.84</v>
      </c>
      <c r="C41" s="132">
        <v>29.3262</v>
      </c>
      <c r="D41" s="132">
        <v>37.040399999999998</v>
      </c>
      <c r="E41" s="132">
        <v>39.521799999999999</v>
      </c>
      <c r="F41" s="110">
        <v>46057.63</v>
      </c>
      <c r="G41" s="21">
        <v>33.380000000000003</v>
      </c>
    </row>
    <row r="42" spans="1:9" ht="15" x14ac:dyDescent="0.2">
      <c r="A42" s="21" t="s">
        <v>540</v>
      </c>
      <c r="B42" s="132">
        <v>783.48</v>
      </c>
      <c r="C42" s="132">
        <v>26.566199999999998</v>
      </c>
      <c r="D42" s="132">
        <v>35.925199999999997</v>
      </c>
      <c r="E42" s="132">
        <v>38.2911</v>
      </c>
      <c r="F42" s="110">
        <v>51140.28</v>
      </c>
      <c r="G42" s="21">
        <v>21.67</v>
      </c>
    </row>
    <row r="43" spans="1:9" ht="15" x14ac:dyDescent="0.2">
      <c r="A43" s="21" t="s">
        <v>541</v>
      </c>
      <c r="B43" s="132">
        <v>333.36</v>
      </c>
      <c r="C43" s="132">
        <v>23.848400000000002</v>
      </c>
      <c r="D43" s="132">
        <v>34.970700000000001</v>
      </c>
      <c r="E43" s="132">
        <v>36.693800000000003</v>
      </c>
      <c r="F43" s="110">
        <v>34831.589999999997</v>
      </c>
      <c r="G43" s="21">
        <v>17.2</v>
      </c>
    </row>
    <row r="44" spans="1:9" ht="15" x14ac:dyDescent="0.2">
      <c r="A44" s="21" t="s">
        <v>542</v>
      </c>
      <c r="B44" s="132">
        <v>133.13999999999999</v>
      </c>
      <c r="C44" s="132">
        <v>21.584900000000001</v>
      </c>
      <c r="D44" s="132">
        <v>33.485100000000003</v>
      </c>
      <c r="E44" s="132">
        <v>34.950499999999998</v>
      </c>
      <c r="F44" s="110">
        <v>20944.89</v>
      </c>
      <c r="G44" s="21">
        <v>12.91</v>
      </c>
    </row>
    <row r="45" spans="1:9" ht="15" x14ac:dyDescent="0.2">
      <c r="A45" s="21" t="s">
        <v>543</v>
      </c>
      <c r="B45" s="132">
        <v>188.1</v>
      </c>
      <c r="C45" s="132">
        <v>31.3154</v>
      </c>
      <c r="D45" s="132">
        <v>36.868699999999997</v>
      </c>
      <c r="E45" s="132">
        <v>36.820599999999999</v>
      </c>
      <c r="F45" s="110">
        <v>10629.44</v>
      </c>
      <c r="G45" s="21">
        <v>6.05</v>
      </c>
      <c r="I45" s="114"/>
    </row>
    <row r="46" spans="1:9" ht="15" x14ac:dyDescent="0.2">
      <c r="A46" s="21" t="s">
        <v>544</v>
      </c>
      <c r="B46" s="132">
        <v>95.85</v>
      </c>
      <c r="C46" s="132">
        <v>28.584900000000001</v>
      </c>
      <c r="D46" s="132">
        <v>33.952500000000001</v>
      </c>
      <c r="E46" s="132">
        <v>33.615699999999997</v>
      </c>
      <c r="F46" s="110">
        <v>8339.85</v>
      </c>
      <c r="G46" s="21">
        <v>4.16</v>
      </c>
      <c r="I46" s="114"/>
    </row>
    <row r="47" spans="1:9" ht="15" x14ac:dyDescent="0.2">
      <c r="A47" s="21" t="s">
        <v>545</v>
      </c>
      <c r="B47" s="132">
        <v>43.45</v>
      </c>
      <c r="C47" s="132">
        <v>25.8277</v>
      </c>
      <c r="D47" s="132">
        <v>31.0307</v>
      </c>
      <c r="E47" s="132">
        <v>31.3687</v>
      </c>
      <c r="F47" s="110">
        <v>6110.46</v>
      </c>
      <c r="G47" s="21">
        <v>3.12</v>
      </c>
      <c r="I47" s="114"/>
    </row>
    <row r="48" spans="1:9" ht="15" x14ac:dyDescent="0.2">
      <c r="A48" s="21" t="s">
        <v>546</v>
      </c>
      <c r="B48" s="132">
        <v>17.55</v>
      </c>
      <c r="C48" s="132">
        <v>23.803899999999999</v>
      </c>
      <c r="D48" s="132">
        <v>29.375399999999999</v>
      </c>
      <c r="E48" s="132">
        <v>29.558900000000001</v>
      </c>
      <c r="F48" s="110">
        <v>3524.38</v>
      </c>
      <c r="G48" s="21">
        <v>2.42</v>
      </c>
      <c r="I48" s="114"/>
    </row>
    <row r="49" spans="1:9" ht="15" x14ac:dyDescent="0.2">
      <c r="A49" s="21" t="s">
        <v>547</v>
      </c>
      <c r="B49" s="132">
        <v>370.44</v>
      </c>
      <c r="C49" s="132">
        <v>29.684100000000001</v>
      </c>
      <c r="D49" s="132">
        <v>36.900500000000001</v>
      </c>
      <c r="E49" s="132">
        <v>37.3735</v>
      </c>
      <c r="F49" s="110">
        <v>12871.27</v>
      </c>
      <c r="G49" s="21">
        <v>5.46</v>
      </c>
      <c r="I49" s="114"/>
    </row>
    <row r="50" spans="1:9" ht="15" x14ac:dyDescent="0.2">
      <c r="A50" s="21" t="s">
        <v>548</v>
      </c>
      <c r="B50" s="132">
        <v>176.64</v>
      </c>
      <c r="C50" s="132">
        <v>26.742999999999999</v>
      </c>
      <c r="D50" s="132">
        <v>34.762900000000002</v>
      </c>
      <c r="E50" s="132">
        <v>35.085999999999999</v>
      </c>
      <c r="F50" s="110">
        <v>9131.67</v>
      </c>
      <c r="G50" s="21">
        <v>4.25</v>
      </c>
      <c r="I50" s="114"/>
    </row>
    <row r="51" spans="1:9" ht="15" x14ac:dyDescent="0.2">
      <c r="A51" s="21" t="s">
        <v>549</v>
      </c>
      <c r="B51" s="132">
        <v>83.16</v>
      </c>
      <c r="C51" s="132">
        <v>24.151</v>
      </c>
      <c r="D51" s="132">
        <v>32.499099999999999</v>
      </c>
      <c r="E51" s="132">
        <v>32.874400000000001</v>
      </c>
      <c r="F51" s="110">
        <v>6848.09</v>
      </c>
      <c r="G51" s="21">
        <v>3.41</v>
      </c>
      <c r="I51" s="114"/>
    </row>
    <row r="52" spans="1:9" ht="15" x14ac:dyDescent="0.2">
      <c r="A52" s="21" t="s">
        <v>550</v>
      </c>
      <c r="B52" s="132">
        <v>36.72</v>
      </c>
      <c r="C52" s="132">
        <v>21.901599999999998</v>
      </c>
      <c r="D52" s="132">
        <v>30.4162</v>
      </c>
      <c r="E52" s="132">
        <v>30.808199999999999</v>
      </c>
      <c r="F52" s="110">
        <v>4658.79</v>
      </c>
      <c r="G52" s="21">
        <v>2.73</v>
      </c>
      <c r="I52" s="114"/>
    </row>
    <row r="53" spans="1:9" ht="15" x14ac:dyDescent="0.2">
      <c r="A53" s="21" t="s">
        <v>551</v>
      </c>
      <c r="B53" s="132">
        <v>601.20000000000005</v>
      </c>
      <c r="C53" s="132">
        <v>26.249400000000001</v>
      </c>
      <c r="D53" s="132">
        <v>33.610700000000001</v>
      </c>
      <c r="E53" s="132">
        <v>33.870199999999997</v>
      </c>
      <c r="F53" s="110">
        <v>12644.73</v>
      </c>
      <c r="G53" s="21">
        <v>7.57</v>
      </c>
      <c r="I53" s="114"/>
    </row>
    <row r="54" spans="1:9" ht="15" x14ac:dyDescent="0.2">
      <c r="A54" s="21" t="s">
        <v>552</v>
      </c>
      <c r="B54" s="132">
        <v>231.95</v>
      </c>
      <c r="C54" s="132">
        <v>23.2804</v>
      </c>
      <c r="D54" s="132">
        <v>31.610800000000001</v>
      </c>
      <c r="E54" s="132">
        <v>31.8369</v>
      </c>
      <c r="F54" s="110">
        <v>10929.59</v>
      </c>
      <c r="G54" s="21">
        <v>5.48</v>
      </c>
      <c r="I54" s="114"/>
    </row>
    <row r="55" spans="1:9" ht="15" x14ac:dyDescent="0.2">
      <c r="A55" s="21" t="s">
        <v>553</v>
      </c>
      <c r="B55" s="132">
        <v>73.599999999999994</v>
      </c>
      <c r="C55" s="132">
        <v>21.107600000000001</v>
      </c>
      <c r="D55" s="132">
        <v>29.822399999999998</v>
      </c>
      <c r="E55" s="132">
        <v>30.018000000000001</v>
      </c>
      <c r="F55" s="110">
        <v>9142.33</v>
      </c>
      <c r="G55" s="21">
        <v>4.47</v>
      </c>
      <c r="I55" s="114"/>
    </row>
    <row r="56" spans="1:9" ht="15" x14ac:dyDescent="0.2">
      <c r="A56" s="21" t="s">
        <v>554</v>
      </c>
      <c r="B56" s="132">
        <v>28.5</v>
      </c>
      <c r="C56" s="132">
        <v>19.861799999999999</v>
      </c>
      <c r="D56" s="132">
        <v>28.298999999999999</v>
      </c>
      <c r="E56" s="132">
        <v>28.383299999999998</v>
      </c>
      <c r="F56" s="110">
        <v>7066.1</v>
      </c>
      <c r="G56" s="21">
        <v>3.28</v>
      </c>
      <c r="I56" s="114"/>
    </row>
    <row r="57" spans="1:9" ht="15" x14ac:dyDescent="0.2">
      <c r="A57" s="21" t="s">
        <v>555</v>
      </c>
      <c r="B57" s="132">
        <v>165.93</v>
      </c>
      <c r="C57" s="132">
        <v>28.771000000000001</v>
      </c>
      <c r="D57" s="132">
        <v>34.947299999999998</v>
      </c>
      <c r="E57" s="132">
        <v>35.774700000000003</v>
      </c>
      <c r="F57" s="110">
        <v>6277.66</v>
      </c>
      <c r="G57" s="21">
        <v>2.85</v>
      </c>
      <c r="I57" s="114"/>
    </row>
    <row r="58" spans="1:9" ht="15" x14ac:dyDescent="0.2">
      <c r="A58" s="21" t="s">
        <v>556</v>
      </c>
      <c r="B58" s="132">
        <v>82.86</v>
      </c>
      <c r="C58" s="132">
        <v>26.763200000000001</v>
      </c>
      <c r="D58" s="132">
        <v>32.756999999999998</v>
      </c>
      <c r="E58" s="132">
        <v>33.0901</v>
      </c>
      <c r="F58" s="110">
        <v>4978.6899999999996</v>
      </c>
      <c r="G58" s="21">
        <v>2.4500000000000002</v>
      </c>
      <c r="I58" s="114"/>
    </row>
    <row r="59" spans="1:9" ht="15" x14ac:dyDescent="0.2">
      <c r="A59" s="21" t="s">
        <v>557</v>
      </c>
      <c r="B59" s="132">
        <v>41.88</v>
      </c>
      <c r="C59" s="132">
        <v>24.750800000000002</v>
      </c>
      <c r="D59" s="132">
        <v>30.3371</v>
      </c>
      <c r="E59" s="132">
        <v>30.3064</v>
      </c>
      <c r="F59" s="110">
        <v>3848.8</v>
      </c>
      <c r="G59" s="21">
        <v>1.99</v>
      </c>
      <c r="I59" s="114"/>
    </row>
    <row r="60" spans="1:9" ht="15" x14ac:dyDescent="0.2">
      <c r="A60" s="21" t="s">
        <v>558</v>
      </c>
      <c r="B60" s="132">
        <v>20.100000000000001</v>
      </c>
      <c r="C60" s="132">
        <v>22.4604</v>
      </c>
      <c r="D60" s="132">
        <v>28.305299999999999</v>
      </c>
      <c r="E60" s="132">
        <v>28.006499999999999</v>
      </c>
      <c r="F60" s="110">
        <v>2611.96</v>
      </c>
      <c r="G60" s="21">
        <v>1.52</v>
      </c>
      <c r="I60" s="114"/>
    </row>
    <row r="61" spans="1:9" x14ac:dyDescent="0.15">
      <c r="A61" s="21" t="s">
        <v>559</v>
      </c>
      <c r="B61" s="21">
        <v>588.01110000000006</v>
      </c>
      <c r="C61" s="110">
        <v>43.586199999999998</v>
      </c>
      <c r="D61" s="110">
        <v>45.608199999999997</v>
      </c>
      <c r="E61" s="110">
        <v>45.391800000000003</v>
      </c>
      <c r="F61" s="110">
        <v>2575.96</v>
      </c>
      <c r="G61" s="21">
        <v>1.28</v>
      </c>
    </row>
    <row r="62" spans="1:9" x14ac:dyDescent="0.15">
      <c r="A62" s="21" t="s">
        <v>560</v>
      </c>
      <c r="B62" s="21">
        <v>351.94049999999999</v>
      </c>
      <c r="C62" s="110">
        <v>39.988399999999999</v>
      </c>
      <c r="D62" s="110">
        <v>42.7776</v>
      </c>
      <c r="E62" s="110">
        <v>42.204700000000003</v>
      </c>
      <c r="F62" s="110">
        <v>2041.89</v>
      </c>
      <c r="G62" s="21">
        <v>0.99</v>
      </c>
    </row>
    <row r="63" spans="1:9" x14ac:dyDescent="0.15">
      <c r="A63" s="21" t="s">
        <v>561</v>
      </c>
      <c r="B63" s="21">
        <v>203.10239999999999</v>
      </c>
      <c r="C63" s="110">
        <v>36.601900000000001</v>
      </c>
      <c r="D63" s="110">
        <v>40.616599999999998</v>
      </c>
      <c r="E63" s="110">
        <v>39.848599999999998</v>
      </c>
      <c r="F63" s="110">
        <v>1550.29</v>
      </c>
      <c r="G63" s="21">
        <v>0.8</v>
      </c>
    </row>
    <row r="64" spans="1:9" x14ac:dyDescent="0.15">
      <c r="A64" s="21" t="s">
        <v>562</v>
      </c>
      <c r="B64" s="21">
        <v>113.71980000000001</v>
      </c>
      <c r="C64" s="110">
        <v>33.427700000000002</v>
      </c>
      <c r="D64" s="110">
        <v>38.9238</v>
      </c>
      <c r="E64" s="110">
        <v>37.978400000000001</v>
      </c>
      <c r="F64" s="110">
        <v>995.75</v>
      </c>
      <c r="G64" s="21">
        <v>0.63</v>
      </c>
    </row>
    <row r="65" spans="1:9" x14ac:dyDescent="0.15">
      <c r="A65" s="21" t="s">
        <v>563</v>
      </c>
      <c r="B65" s="21">
        <v>1540.4208000000001</v>
      </c>
      <c r="C65" s="110">
        <v>41.916200000000003</v>
      </c>
      <c r="D65" s="110">
        <v>43.527900000000002</v>
      </c>
      <c r="E65" s="110">
        <v>44.645400000000002</v>
      </c>
      <c r="F65" s="110">
        <v>3526.84</v>
      </c>
      <c r="G65" s="21">
        <v>2.11</v>
      </c>
    </row>
    <row r="66" spans="1:9" x14ac:dyDescent="0.15">
      <c r="A66" s="21" t="s">
        <v>564</v>
      </c>
      <c r="B66" s="21">
        <v>977.62</v>
      </c>
      <c r="C66" s="110">
        <v>37.433700000000002</v>
      </c>
      <c r="D66" s="110">
        <v>40.859299999999998</v>
      </c>
      <c r="E66" s="110">
        <v>42.113300000000002</v>
      </c>
      <c r="F66" s="110">
        <v>2964.46</v>
      </c>
      <c r="G66" s="21">
        <v>1.61</v>
      </c>
    </row>
    <row r="67" spans="1:9" x14ac:dyDescent="0.15">
      <c r="A67" s="21" t="s">
        <v>565</v>
      </c>
      <c r="B67" s="21">
        <v>595.60559999999998</v>
      </c>
      <c r="C67" s="110">
        <v>33.575800000000001</v>
      </c>
      <c r="D67" s="110">
        <v>39.3247</v>
      </c>
      <c r="E67" s="110">
        <v>40.463099999999997</v>
      </c>
      <c r="F67" s="110">
        <v>2409.9499999999998</v>
      </c>
      <c r="G67" s="21">
        <v>1.26</v>
      </c>
    </row>
    <row r="68" spans="1:9" x14ac:dyDescent="0.15">
      <c r="A68" s="21" t="s">
        <v>566</v>
      </c>
      <c r="B68" s="21">
        <v>349.49919999999997</v>
      </c>
      <c r="C68" s="110">
        <v>30.0412</v>
      </c>
      <c r="D68" s="110">
        <v>38.407499999999999</v>
      </c>
      <c r="E68" s="110">
        <v>39.311100000000003</v>
      </c>
      <c r="F68" s="110">
        <v>1837.04</v>
      </c>
      <c r="G68" s="21">
        <v>1.01</v>
      </c>
    </row>
    <row r="69" spans="1:9" x14ac:dyDescent="0.15">
      <c r="A69" s="21" t="s">
        <v>567</v>
      </c>
      <c r="B69" s="21">
        <v>1345.1635000000001</v>
      </c>
      <c r="C69" s="110">
        <v>41.684899999999999</v>
      </c>
      <c r="D69" s="110">
        <v>42.286000000000001</v>
      </c>
      <c r="E69" s="110">
        <v>43.152099999999997</v>
      </c>
      <c r="F69" s="110">
        <v>3391.57</v>
      </c>
      <c r="G69" s="21">
        <v>2.0299999999999998</v>
      </c>
    </row>
    <row r="70" spans="1:9" x14ac:dyDescent="0.15">
      <c r="A70" s="21" t="s">
        <v>568</v>
      </c>
      <c r="B70" s="21">
        <v>837.8587</v>
      </c>
      <c r="C70" s="110">
        <v>37.4268</v>
      </c>
      <c r="D70" s="110">
        <v>39.348199999999999</v>
      </c>
      <c r="E70" s="110">
        <v>39.970799999999997</v>
      </c>
      <c r="F70" s="110">
        <v>2960.03</v>
      </c>
      <c r="G70" s="21">
        <v>1.61</v>
      </c>
    </row>
    <row r="71" spans="1:9" x14ac:dyDescent="0.15">
      <c r="A71" s="21" t="s">
        <v>569</v>
      </c>
      <c r="B71" s="21">
        <v>480.9008</v>
      </c>
      <c r="C71" s="110">
        <v>33.4694</v>
      </c>
      <c r="D71" s="110">
        <v>37.291600000000003</v>
      </c>
      <c r="E71" s="110">
        <v>37.743299999999998</v>
      </c>
      <c r="F71" s="110">
        <v>2546.31</v>
      </c>
      <c r="G71" s="21">
        <v>1.27</v>
      </c>
    </row>
    <row r="72" spans="1:9" x14ac:dyDescent="0.15">
      <c r="A72" s="21" t="s">
        <v>570</v>
      </c>
      <c r="B72" s="21">
        <v>247.0206</v>
      </c>
      <c r="C72" s="110">
        <v>29.855399999999999</v>
      </c>
      <c r="D72" s="110">
        <v>35.764400000000002</v>
      </c>
      <c r="E72" s="110">
        <v>36.219299999999997</v>
      </c>
      <c r="F72" s="110">
        <v>1961.3</v>
      </c>
      <c r="G72" s="21">
        <v>0.94</v>
      </c>
    </row>
    <row r="73" spans="1:9" x14ac:dyDescent="0.15">
      <c r="A73" s="21" t="s">
        <v>571</v>
      </c>
      <c r="B73" s="21">
        <v>519.66</v>
      </c>
      <c r="C73" s="110">
        <v>43.342500000000001</v>
      </c>
      <c r="D73" s="110">
        <v>43.1798</v>
      </c>
      <c r="E73" s="110">
        <v>44.084800000000001</v>
      </c>
      <c r="F73" s="110">
        <v>1705.58</v>
      </c>
      <c r="G73" s="21">
        <v>0.89</v>
      </c>
    </row>
    <row r="74" spans="1:9" x14ac:dyDescent="0.15">
      <c r="A74" s="21" t="s">
        <v>572</v>
      </c>
      <c r="B74" s="21">
        <v>327.04259999999999</v>
      </c>
      <c r="C74" s="110">
        <v>39.616799999999998</v>
      </c>
      <c r="D74" s="110">
        <v>39.932000000000002</v>
      </c>
      <c r="E74" s="110">
        <v>41.304600000000001</v>
      </c>
      <c r="F74" s="110">
        <v>1418.96</v>
      </c>
      <c r="G74" s="21">
        <v>0.73</v>
      </c>
    </row>
    <row r="75" spans="1:9" x14ac:dyDescent="0.15">
      <c r="A75" s="21" t="s">
        <v>573</v>
      </c>
      <c r="B75" s="21">
        <v>183.86529999999999</v>
      </c>
      <c r="C75" s="110">
        <v>35.689799999999998</v>
      </c>
      <c r="D75" s="110">
        <v>37.8902</v>
      </c>
      <c r="E75" s="110">
        <v>39.220399999999998</v>
      </c>
      <c r="F75" s="110">
        <v>1196.27</v>
      </c>
      <c r="G75" s="21">
        <v>0.6</v>
      </c>
    </row>
    <row r="76" spans="1:9" x14ac:dyDescent="0.15">
      <c r="A76" s="21" t="s">
        <v>574</v>
      </c>
      <c r="B76" s="21">
        <v>92.392099999999999</v>
      </c>
      <c r="C76" s="110">
        <v>32.141500000000001</v>
      </c>
      <c r="D76" s="110">
        <v>36.434199999999997</v>
      </c>
      <c r="E76" s="110">
        <v>37.554200000000002</v>
      </c>
      <c r="F76" s="110">
        <v>845.03</v>
      </c>
      <c r="G76" s="21">
        <v>0.46</v>
      </c>
    </row>
    <row r="77" spans="1:9" ht="15" x14ac:dyDescent="0.2">
      <c r="A77" s="21" t="s">
        <v>575</v>
      </c>
      <c r="B77" s="132">
        <v>458.4</v>
      </c>
      <c r="C77" s="132">
        <v>33.195999999999998</v>
      </c>
      <c r="D77" s="132">
        <v>40.3249</v>
      </c>
      <c r="E77" s="132">
        <v>41.4512</v>
      </c>
      <c r="F77" s="110">
        <v>19434.78</v>
      </c>
      <c r="G77" s="21">
        <v>8.42</v>
      </c>
      <c r="I77" s="114"/>
    </row>
    <row r="78" spans="1:9" ht="15" x14ac:dyDescent="0.2">
      <c r="A78" s="21" t="s">
        <v>576</v>
      </c>
      <c r="B78" s="132">
        <v>238.92</v>
      </c>
      <c r="C78" s="132">
        <v>29.897400000000001</v>
      </c>
      <c r="D78" s="132">
        <v>38.132599999999996</v>
      </c>
      <c r="E78" s="132">
        <v>39.2029</v>
      </c>
      <c r="F78" s="110">
        <v>13294.14</v>
      </c>
      <c r="G78" s="21">
        <v>7</v>
      </c>
      <c r="I78" s="114"/>
    </row>
    <row r="79" spans="1:9" ht="15" x14ac:dyDescent="0.2">
      <c r="A79" s="21" t="s">
        <v>577</v>
      </c>
      <c r="B79" s="132">
        <v>116.76</v>
      </c>
      <c r="C79" s="132">
        <v>26.855899999999998</v>
      </c>
      <c r="D79" s="132">
        <v>35.633499999999998</v>
      </c>
      <c r="E79" s="132">
        <v>36.266300000000001</v>
      </c>
      <c r="F79" s="110">
        <v>9698.7800000000007</v>
      </c>
      <c r="G79" s="21">
        <v>5.94</v>
      </c>
      <c r="I79" s="114"/>
    </row>
    <row r="80" spans="1:9" ht="15" x14ac:dyDescent="0.2">
      <c r="A80" s="21" t="s">
        <v>578</v>
      </c>
      <c r="B80" s="132">
        <v>51.6</v>
      </c>
      <c r="C80" s="132">
        <v>24.317699999999999</v>
      </c>
      <c r="D80" s="132">
        <v>33.995199999999997</v>
      </c>
      <c r="E80" s="132">
        <v>33.6462</v>
      </c>
      <c r="F80" s="110">
        <v>6337.44</v>
      </c>
      <c r="G80" s="21">
        <v>4.99</v>
      </c>
      <c r="I80" s="114"/>
    </row>
    <row r="81" spans="1:9" ht="15" x14ac:dyDescent="0.2">
      <c r="A81" s="21" t="s">
        <v>579</v>
      </c>
      <c r="B81" s="132">
        <v>236.22</v>
      </c>
      <c r="C81" s="132">
        <v>35.611899999999999</v>
      </c>
      <c r="D81" s="132">
        <v>41.880499999999998</v>
      </c>
      <c r="E81" s="132">
        <v>42.5777</v>
      </c>
      <c r="F81" s="110">
        <v>15098.19</v>
      </c>
      <c r="G81" s="21">
        <v>6.58</v>
      </c>
      <c r="I81" s="114"/>
    </row>
    <row r="82" spans="1:9" ht="15" x14ac:dyDescent="0.2">
      <c r="A82" s="21" t="s">
        <v>580</v>
      </c>
      <c r="B82" s="132">
        <v>134.63999999999999</v>
      </c>
      <c r="C82" s="132">
        <v>32.886200000000002</v>
      </c>
      <c r="D82" s="132">
        <v>39.433199999999999</v>
      </c>
      <c r="E82" s="132">
        <v>40.614600000000003</v>
      </c>
      <c r="F82" s="110">
        <v>10086.14</v>
      </c>
      <c r="G82" s="21">
        <v>5.93</v>
      </c>
      <c r="I82" s="114"/>
    </row>
    <row r="83" spans="1:9" ht="15" x14ac:dyDescent="0.2">
      <c r="A83" s="21" t="s">
        <v>581</v>
      </c>
      <c r="B83" s="132">
        <v>78.540000000000006</v>
      </c>
      <c r="C83" s="132">
        <v>30.168600000000001</v>
      </c>
      <c r="D83" s="132">
        <v>36.410800000000002</v>
      </c>
      <c r="E83" s="132">
        <v>37.6021</v>
      </c>
      <c r="F83" s="110">
        <v>6951.62</v>
      </c>
      <c r="G83" s="21">
        <v>5.14</v>
      </c>
      <c r="I83" s="114"/>
    </row>
    <row r="84" spans="1:9" ht="15" x14ac:dyDescent="0.2">
      <c r="A84" s="21" t="s">
        <v>582</v>
      </c>
      <c r="B84" s="132">
        <v>45.6</v>
      </c>
      <c r="C84" s="132">
        <v>27.302299999999999</v>
      </c>
      <c r="D84" s="132">
        <v>33.056600000000003</v>
      </c>
      <c r="E84" s="132">
        <v>34.873600000000003</v>
      </c>
      <c r="F84" s="110">
        <v>4101.5</v>
      </c>
      <c r="G84" s="21">
        <v>4.5999999999999996</v>
      </c>
      <c r="I84" s="114"/>
    </row>
    <row r="85" spans="1:9" ht="15" x14ac:dyDescent="0.2">
      <c r="A85" s="21" t="s">
        <v>583</v>
      </c>
      <c r="B85" s="132">
        <v>329.46</v>
      </c>
      <c r="C85" s="132">
        <v>34.9619</v>
      </c>
      <c r="D85" s="132">
        <v>41.102699999999999</v>
      </c>
      <c r="E85" s="132">
        <v>42.152000000000001</v>
      </c>
      <c r="F85" s="110">
        <v>14639.74</v>
      </c>
      <c r="G85" s="21">
        <v>7.12</v>
      </c>
      <c r="I85" s="114"/>
    </row>
    <row r="86" spans="1:9" ht="15" x14ac:dyDescent="0.2">
      <c r="A86" s="21" t="s">
        <v>584</v>
      </c>
      <c r="B86" s="132">
        <v>185.04</v>
      </c>
      <c r="C86" s="132">
        <v>31.754999999999999</v>
      </c>
      <c r="D86" s="132">
        <v>38.780099999999997</v>
      </c>
      <c r="E86" s="132">
        <v>39.722000000000001</v>
      </c>
      <c r="F86" s="110">
        <v>10175.14</v>
      </c>
      <c r="G86" s="21">
        <v>6.25</v>
      </c>
      <c r="I86" s="114"/>
    </row>
    <row r="87" spans="1:9" ht="15" x14ac:dyDescent="0.2">
      <c r="A87" s="21" t="s">
        <v>585</v>
      </c>
      <c r="B87" s="132">
        <v>101.34</v>
      </c>
      <c r="C87" s="132">
        <v>28.795400000000001</v>
      </c>
      <c r="D87" s="132">
        <v>35.905799999999999</v>
      </c>
      <c r="E87" s="132">
        <v>36.860999999999997</v>
      </c>
      <c r="F87" s="110">
        <v>7082.33</v>
      </c>
      <c r="G87" s="21">
        <v>5.17</v>
      </c>
      <c r="I87" s="114"/>
    </row>
    <row r="88" spans="1:9" ht="15" x14ac:dyDescent="0.2">
      <c r="A88" s="21" t="s">
        <v>586</v>
      </c>
      <c r="B88" s="132">
        <v>55.32</v>
      </c>
      <c r="C88" s="132">
        <v>25.952200000000001</v>
      </c>
      <c r="D88" s="132">
        <v>33.178699999999999</v>
      </c>
      <c r="E88" s="132">
        <v>34.874200000000002</v>
      </c>
      <c r="F88" s="110">
        <v>4615.97</v>
      </c>
      <c r="G88" s="21">
        <v>4.84</v>
      </c>
      <c r="I88" s="114"/>
    </row>
    <row r="89" spans="1:9" x14ac:dyDescent="0.15">
      <c r="A89" s="21" t="s">
        <v>587</v>
      </c>
      <c r="B89" s="21">
        <v>2404.2602999999999</v>
      </c>
      <c r="C89" s="110">
        <v>42.741300000000003</v>
      </c>
      <c r="D89" s="110">
        <v>43.996699999999997</v>
      </c>
      <c r="E89" s="110">
        <v>44.735599999999998</v>
      </c>
      <c r="F89" s="110">
        <v>14681.08</v>
      </c>
      <c r="G89" s="21">
        <v>5.42</v>
      </c>
    </row>
    <row r="90" spans="1:9" x14ac:dyDescent="0.15">
      <c r="A90" s="21" t="s">
        <v>588</v>
      </c>
      <c r="B90" s="21">
        <v>1367.1238000000001</v>
      </c>
      <c r="C90" s="110">
        <v>39.389299999999999</v>
      </c>
      <c r="D90" s="110">
        <v>41.233400000000003</v>
      </c>
      <c r="E90" s="110">
        <v>41.778399999999998</v>
      </c>
      <c r="F90" s="110">
        <v>12273.43</v>
      </c>
      <c r="G90" s="21">
        <v>3.93</v>
      </c>
    </row>
    <row r="91" spans="1:9" x14ac:dyDescent="0.15">
      <c r="A91" s="21" t="s">
        <v>589</v>
      </c>
      <c r="B91" s="21">
        <v>779.45709999999997</v>
      </c>
      <c r="C91" s="110">
        <v>36.307400000000001</v>
      </c>
      <c r="D91" s="110">
        <v>39.216299999999997</v>
      </c>
      <c r="E91" s="110">
        <v>39.630899999999997</v>
      </c>
      <c r="F91" s="110">
        <v>9505.93</v>
      </c>
      <c r="G91" s="21">
        <v>3.07</v>
      </c>
    </row>
    <row r="92" spans="1:9" x14ac:dyDescent="0.15">
      <c r="A92" s="21" t="s">
        <v>590</v>
      </c>
      <c r="B92" s="21">
        <v>455.07940000000002</v>
      </c>
      <c r="C92" s="110">
        <v>33.452599999999997</v>
      </c>
      <c r="D92" s="110">
        <v>37.692300000000003</v>
      </c>
      <c r="E92" s="110">
        <v>37.883899999999997</v>
      </c>
      <c r="F92" s="110">
        <v>5644.79</v>
      </c>
      <c r="G92" s="21">
        <v>2.34</v>
      </c>
    </row>
    <row r="93" spans="1:9" x14ac:dyDescent="0.15">
      <c r="A93" s="21" t="s">
        <v>591</v>
      </c>
      <c r="B93" s="21">
        <v>11588.5584</v>
      </c>
      <c r="C93" s="110">
        <v>44.4572</v>
      </c>
      <c r="D93" s="110">
        <v>45.262999999999998</v>
      </c>
      <c r="E93" s="110">
        <v>45.892099999999999</v>
      </c>
      <c r="F93" s="110">
        <v>83193.710000000006</v>
      </c>
      <c r="G93" s="21">
        <v>34.21</v>
      </c>
    </row>
    <row r="94" spans="1:9" x14ac:dyDescent="0.15">
      <c r="A94" s="21" t="s">
        <v>592</v>
      </c>
      <c r="B94" s="21">
        <v>7184.4823999999999</v>
      </c>
      <c r="C94" s="110">
        <v>41.392000000000003</v>
      </c>
      <c r="D94" s="110">
        <v>42.4529</v>
      </c>
      <c r="E94" s="110">
        <v>42.872399999999999</v>
      </c>
      <c r="F94" s="110">
        <v>64179.73</v>
      </c>
      <c r="G94" s="21">
        <v>25.25</v>
      </c>
    </row>
    <row r="95" spans="1:9" x14ac:dyDescent="0.15">
      <c r="A95" s="21" t="s">
        <v>593</v>
      </c>
      <c r="B95" s="21">
        <v>4117.8335999999999</v>
      </c>
      <c r="C95" s="110">
        <v>38.107300000000002</v>
      </c>
      <c r="D95" s="110">
        <v>40.331099999999999</v>
      </c>
      <c r="E95" s="110">
        <v>40.536499999999997</v>
      </c>
      <c r="F95" s="110">
        <v>48733.7</v>
      </c>
      <c r="G95" s="21">
        <v>20.04</v>
      </c>
    </row>
    <row r="96" spans="1:9" x14ac:dyDescent="0.15">
      <c r="A96" s="21" t="s">
        <v>594</v>
      </c>
      <c r="B96" s="21">
        <v>2336.1</v>
      </c>
      <c r="C96" s="110">
        <v>35.014099999999999</v>
      </c>
      <c r="D96" s="110">
        <v>38.656300000000002</v>
      </c>
      <c r="E96" s="110">
        <v>38.752299999999998</v>
      </c>
      <c r="F96" s="110">
        <v>28980.84</v>
      </c>
      <c r="G96" s="21">
        <v>15.07</v>
      </c>
    </row>
    <row r="97" spans="1:13" x14ac:dyDescent="0.15">
      <c r="A97" s="21" t="s">
        <v>595</v>
      </c>
      <c r="B97" s="21">
        <v>2246.3708000000001</v>
      </c>
      <c r="C97" s="110">
        <v>47.576700000000002</v>
      </c>
      <c r="D97" s="110">
        <v>45.3979</v>
      </c>
      <c r="E97" s="110">
        <v>45.9208</v>
      </c>
      <c r="F97" s="110">
        <v>12290.28</v>
      </c>
      <c r="G97" s="21">
        <v>6.67</v>
      </c>
    </row>
    <row r="98" spans="1:13" x14ac:dyDescent="0.15">
      <c r="A98" s="21" t="s">
        <v>596</v>
      </c>
      <c r="B98" s="21">
        <v>1662.7689</v>
      </c>
      <c r="C98" s="110">
        <v>43.768500000000003</v>
      </c>
      <c r="D98" s="110">
        <v>41.283700000000003</v>
      </c>
      <c r="E98" s="110">
        <v>42.364899999999999</v>
      </c>
      <c r="F98" s="110">
        <v>10659.35</v>
      </c>
      <c r="G98" s="21">
        <v>4.84</v>
      </c>
    </row>
    <row r="99" spans="1:13" x14ac:dyDescent="0.15">
      <c r="A99" s="21" t="s">
        <v>597</v>
      </c>
      <c r="B99" s="21">
        <v>1278.9386999999999</v>
      </c>
      <c r="C99" s="110">
        <v>39.385100000000001</v>
      </c>
      <c r="D99" s="110">
        <v>39.240499999999997</v>
      </c>
      <c r="E99" s="110">
        <v>40.545299999999997</v>
      </c>
      <c r="F99" s="110">
        <v>10229.129999999999</v>
      </c>
      <c r="G99" s="21">
        <v>3.92</v>
      </c>
    </row>
    <row r="100" spans="1:13" x14ac:dyDescent="0.15">
      <c r="A100" s="21" t="s">
        <v>598</v>
      </c>
      <c r="B100" s="21">
        <v>974.81449999999995</v>
      </c>
      <c r="C100" s="110">
        <v>34.567900000000002</v>
      </c>
      <c r="D100" s="110">
        <v>38.368600000000001</v>
      </c>
      <c r="E100" s="110">
        <v>39.656399999999998</v>
      </c>
      <c r="F100" s="110">
        <v>9231.99</v>
      </c>
      <c r="G100" s="21">
        <v>3.58</v>
      </c>
    </row>
    <row r="101" spans="1:13" x14ac:dyDescent="0.15">
      <c r="A101" s="21" t="s">
        <v>599</v>
      </c>
      <c r="B101" s="21">
        <v>515.55870000000004</v>
      </c>
      <c r="C101" s="110">
        <v>51.226599999999998</v>
      </c>
      <c r="D101" s="110">
        <v>54.150500000000001</v>
      </c>
      <c r="E101" s="110">
        <v>55.115099999999998</v>
      </c>
      <c r="F101" s="110">
        <v>9059.0400000000009</v>
      </c>
      <c r="G101" s="21">
        <v>4.3499999999999996</v>
      </c>
    </row>
    <row r="102" spans="1:13" x14ac:dyDescent="0.15">
      <c r="A102" s="21" t="s">
        <v>600</v>
      </c>
      <c r="B102" s="21">
        <v>338.40030000000002</v>
      </c>
      <c r="C102" s="110">
        <v>47.548200000000001</v>
      </c>
      <c r="D102" s="110">
        <v>50.840899999999998</v>
      </c>
      <c r="E102" s="110">
        <v>52.023000000000003</v>
      </c>
      <c r="F102" s="110">
        <v>7089.21</v>
      </c>
      <c r="G102" s="21">
        <v>4.09</v>
      </c>
    </row>
    <row r="103" spans="1:13" x14ac:dyDescent="0.15">
      <c r="A103" s="21" t="s">
        <v>601</v>
      </c>
      <c r="B103" s="21">
        <v>226.19210000000001</v>
      </c>
      <c r="C103" s="110">
        <v>43.9435</v>
      </c>
      <c r="D103" s="110">
        <v>48.4557</v>
      </c>
      <c r="E103" s="110">
        <v>50.125599999999999</v>
      </c>
      <c r="F103" s="110">
        <v>5781.6</v>
      </c>
      <c r="G103" s="21">
        <v>3.59</v>
      </c>
    </row>
    <row r="104" spans="1:13" x14ac:dyDescent="0.15">
      <c r="A104" s="21" t="s">
        <v>602</v>
      </c>
      <c r="B104" s="21">
        <v>148.92509999999999</v>
      </c>
      <c r="C104" s="110">
        <v>40.195099999999996</v>
      </c>
      <c r="D104" s="110">
        <v>46.631399999999999</v>
      </c>
      <c r="E104" s="110">
        <v>48.592599999999997</v>
      </c>
      <c r="F104" s="110">
        <v>4636.3999999999996</v>
      </c>
      <c r="G104" s="21">
        <v>3.13</v>
      </c>
    </row>
    <row r="105" spans="1:13" x14ac:dyDescent="0.15">
      <c r="A105" s="21" t="s">
        <v>603</v>
      </c>
      <c r="B105" s="112">
        <v>18929.245900000002</v>
      </c>
      <c r="C105" s="114">
        <v>49.557099999999998</v>
      </c>
      <c r="D105" s="114">
        <v>48.3994</v>
      </c>
      <c r="E105" s="112">
        <v>43.148299999999999</v>
      </c>
      <c r="F105" s="112">
        <v>100151.84</v>
      </c>
      <c r="G105" s="112">
        <v>32.700000000000003</v>
      </c>
      <c r="H105" s="21">
        <v>18929.245900000002</v>
      </c>
      <c r="I105" s="114">
        <v>49.557099999999998</v>
      </c>
      <c r="J105" s="114">
        <v>48.3994</v>
      </c>
      <c r="K105" s="21">
        <v>43.148299999999999</v>
      </c>
      <c r="L105" s="21">
        <v>100151.84</v>
      </c>
      <c r="M105" s="21">
        <v>32.700000000000003</v>
      </c>
    </row>
    <row r="106" spans="1:13" x14ac:dyDescent="0.15">
      <c r="A106" s="21" t="s">
        <v>604</v>
      </c>
      <c r="B106" s="112">
        <v>5409.9503000000004</v>
      </c>
      <c r="C106" s="114">
        <v>48.596200000000003</v>
      </c>
      <c r="D106" s="114">
        <v>46.802300000000002</v>
      </c>
      <c r="E106" s="112">
        <v>41.57</v>
      </c>
      <c r="F106" s="112">
        <v>41476.04</v>
      </c>
      <c r="G106" s="112">
        <v>24.75</v>
      </c>
      <c r="H106" s="21">
        <v>5409.9503000000004</v>
      </c>
      <c r="I106" s="114">
        <v>48.596200000000003</v>
      </c>
      <c r="J106" s="114">
        <v>46.802300000000002</v>
      </c>
      <c r="K106" s="21">
        <v>41.57</v>
      </c>
      <c r="L106" s="21">
        <v>41476.04</v>
      </c>
      <c r="M106" s="21">
        <v>24.75</v>
      </c>
    </row>
    <row r="107" spans="1:13" x14ac:dyDescent="0.15">
      <c r="A107" s="21" t="s">
        <v>605</v>
      </c>
      <c r="B107" s="112">
        <v>3039.6210999999998</v>
      </c>
      <c r="C107" s="114">
        <v>47.642000000000003</v>
      </c>
      <c r="D107" s="114">
        <v>45.439</v>
      </c>
      <c r="E107" s="112">
        <v>40.711199999999998</v>
      </c>
      <c r="F107" s="112">
        <v>17090.45</v>
      </c>
      <c r="G107" s="112">
        <v>22.68</v>
      </c>
      <c r="H107" s="21">
        <v>3039.6210999999998</v>
      </c>
      <c r="I107" s="114">
        <v>47.642000000000003</v>
      </c>
      <c r="J107" s="114">
        <v>45.439</v>
      </c>
      <c r="K107" s="21">
        <v>40.711199999999998</v>
      </c>
      <c r="L107" s="21">
        <v>17090.45</v>
      </c>
      <c r="M107" s="21">
        <v>22.68</v>
      </c>
    </row>
    <row r="108" spans="1:13" x14ac:dyDescent="0.15">
      <c r="A108" s="21" t="s">
        <v>606</v>
      </c>
      <c r="B108" s="112">
        <v>1818.7297000000001</v>
      </c>
      <c r="C108" s="114">
        <v>46.709400000000002</v>
      </c>
      <c r="D108" s="114">
        <v>44.148899999999998</v>
      </c>
      <c r="E108" s="112">
        <v>39.525100000000002</v>
      </c>
      <c r="F108" s="112">
        <v>5799.28</v>
      </c>
      <c r="G108" s="112">
        <v>20.02</v>
      </c>
      <c r="H108" s="21">
        <v>1818.7297000000001</v>
      </c>
      <c r="I108" s="114">
        <v>46.709400000000002</v>
      </c>
      <c r="J108" s="114">
        <v>44.148899999999998</v>
      </c>
      <c r="K108" s="21">
        <v>39.525100000000002</v>
      </c>
      <c r="L108" s="21">
        <v>5799.28</v>
      </c>
      <c r="M108" s="21">
        <v>20.02</v>
      </c>
    </row>
    <row r="109" spans="1:13" x14ac:dyDescent="0.15">
      <c r="A109" s="21" t="s">
        <v>607</v>
      </c>
      <c r="B109" s="112">
        <v>15423.3663</v>
      </c>
      <c r="C109" s="114">
        <v>49.740600000000001</v>
      </c>
      <c r="D109" s="114">
        <v>50.5197</v>
      </c>
      <c r="E109" s="112">
        <v>46.101199999999999</v>
      </c>
      <c r="F109" s="112">
        <v>66879.649999999994</v>
      </c>
      <c r="G109" s="112">
        <v>30.02</v>
      </c>
      <c r="H109" s="21">
        <v>15423.3663</v>
      </c>
      <c r="I109" s="114">
        <v>49.740600000000001</v>
      </c>
      <c r="J109" s="114">
        <v>50.5197</v>
      </c>
      <c r="K109" s="21">
        <v>46.101199999999999</v>
      </c>
      <c r="L109" s="21">
        <v>66879.649999999994</v>
      </c>
      <c r="M109" s="21">
        <v>30.02</v>
      </c>
    </row>
    <row r="110" spans="1:13" x14ac:dyDescent="0.15">
      <c r="A110" s="21" t="s">
        <v>608</v>
      </c>
      <c r="B110" s="112">
        <v>8433.7736999999997</v>
      </c>
      <c r="C110" s="114">
        <v>47.625100000000003</v>
      </c>
      <c r="D110" s="114">
        <v>48.274799999999999</v>
      </c>
      <c r="E110" s="112">
        <v>44.167999999999999</v>
      </c>
      <c r="F110" s="112">
        <v>32327.55</v>
      </c>
      <c r="G110" s="112">
        <v>27.81</v>
      </c>
      <c r="H110" s="21">
        <v>8433.7736999999997</v>
      </c>
      <c r="I110" s="114">
        <v>47.625100000000003</v>
      </c>
      <c r="J110" s="114">
        <v>48.274799999999999</v>
      </c>
      <c r="K110" s="21">
        <v>44.167999999999999</v>
      </c>
      <c r="L110" s="21">
        <v>32327.55</v>
      </c>
      <c r="M110" s="21">
        <v>27.81</v>
      </c>
    </row>
    <row r="111" spans="1:13" x14ac:dyDescent="0.15">
      <c r="A111" s="21" t="s">
        <v>609</v>
      </c>
      <c r="B111" s="112">
        <v>5036.0289000000002</v>
      </c>
      <c r="C111" s="114">
        <v>45.882199999999997</v>
      </c>
      <c r="D111" s="114">
        <v>46.3947</v>
      </c>
      <c r="E111" s="112">
        <v>42.101799999999997</v>
      </c>
      <c r="F111" s="112">
        <v>19584.21</v>
      </c>
      <c r="G111" s="112">
        <v>24.36</v>
      </c>
      <c r="H111" s="21">
        <v>5036.0289000000002</v>
      </c>
      <c r="I111" s="114">
        <v>45.882199999999997</v>
      </c>
      <c r="J111" s="114">
        <v>46.3947</v>
      </c>
      <c r="K111" s="21">
        <v>42.101799999999997</v>
      </c>
      <c r="L111" s="21">
        <v>19584.21</v>
      </c>
      <c r="M111" s="21">
        <v>24.36</v>
      </c>
    </row>
    <row r="112" spans="1:13" x14ac:dyDescent="0.15">
      <c r="A112" s="21" t="s">
        <v>610</v>
      </c>
      <c r="B112" s="112">
        <v>2991.5574000000001</v>
      </c>
      <c r="C112" s="114">
        <v>44.520200000000003</v>
      </c>
      <c r="D112" s="114">
        <v>44.872900000000001</v>
      </c>
      <c r="E112" s="112">
        <v>39.7057</v>
      </c>
      <c r="F112" s="112">
        <v>9432.86</v>
      </c>
      <c r="G112" s="112">
        <v>22.65</v>
      </c>
      <c r="H112" s="21">
        <v>2991.5574000000001</v>
      </c>
      <c r="I112" s="114">
        <v>44.520200000000003</v>
      </c>
      <c r="J112" s="114">
        <v>44.872900000000001</v>
      </c>
      <c r="K112" s="21">
        <v>39.7057</v>
      </c>
      <c r="L112" s="21">
        <v>9432.86</v>
      </c>
      <c r="M112" s="21">
        <v>22.65</v>
      </c>
    </row>
    <row r="113" spans="1:13" x14ac:dyDescent="0.15">
      <c r="A113" s="21" t="s">
        <v>611</v>
      </c>
      <c r="B113" s="112">
        <v>21484.8766</v>
      </c>
      <c r="C113" s="114">
        <v>46.048999999999999</v>
      </c>
      <c r="D113" s="114">
        <v>43.876800000000003</v>
      </c>
      <c r="E113" s="112">
        <v>43.823399999999999</v>
      </c>
      <c r="F113" s="112">
        <v>89883.69</v>
      </c>
      <c r="G113" s="112">
        <v>40.94</v>
      </c>
      <c r="H113" s="21">
        <v>21484.8766</v>
      </c>
      <c r="I113" s="114">
        <v>46.048999999999999</v>
      </c>
      <c r="J113" s="114">
        <v>43.876800000000003</v>
      </c>
      <c r="K113" s="21">
        <v>43.823399999999999</v>
      </c>
      <c r="L113" s="21">
        <v>89883.69</v>
      </c>
      <c r="M113" s="21">
        <v>40.94</v>
      </c>
    </row>
    <row r="114" spans="1:13" x14ac:dyDescent="0.15">
      <c r="A114" s="21" t="s">
        <v>612</v>
      </c>
      <c r="B114" s="112">
        <v>9540.6142</v>
      </c>
      <c r="C114" s="114">
        <v>42.191299999999998</v>
      </c>
      <c r="D114" s="114">
        <v>41.875900000000001</v>
      </c>
      <c r="E114" s="112">
        <v>40.533799999999999</v>
      </c>
      <c r="F114" s="112">
        <v>62300.29</v>
      </c>
      <c r="G114" s="112">
        <v>33.67</v>
      </c>
      <c r="H114" s="21">
        <v>9540.6142</v>
      </c>
      <c r="I114" s="114">
        <v>42.191299999999998</v>
      </c>
      <c r="J114" s="114">
        <v>41.875900000000001</v>
      </c>
      <c r="K114" s="21">
        <v>40.533799999999999</v>
      </c>
      <c r="L114" s="21">
        <v>62300.29</v>
      </c>
      <c r="M114" s="21">
        <v>33.67</v>
      </c>
    </row>
    <row r="115" spans="1:13" x14ac:dyDescent="0.15">
      <c r="A115" s="21" t="s">
        <v>613</v>
      </c>
      <c r="B115" s="112">
        <v>3344.2136999999998</v>
      </c>
      <c r="C115" s="114">
        <v>39.527700000000003</v>
      </c>
      <c r="D115" s="114">
        <v>40.512300000000003</v>
      </c>
      <c r="E115" s="112">
        <v>38.1325</v>
      </c>
      <c r="F115" s="112">
        <v>35728.26</v>
      </c>
      <c r="G115" s="112">
        <v>23.38</v>
      </c>
      <c r="H115" s="21">
        <v>3344.2136999999998</v>
      </c>
      <c r="I115" s="114">
        <v>39.527700000000003</v>
      </c>
      <c r="J115" s="114">
        <v>40.512300000000003</v>
      </c>
      <c r="K115" s="21">
        <v>38.1325</v>
      </c>
      <c r="L115" s="21">
        <v>35728.26</v>
      </c>
      <c r="M115" s="21">
        <v>23.38</v>
      </c>
    </row>
    <row r="116" spans="1:13" x14ac:dyDescent="0.15">
      <c r="A116" s="21" t="s">
        <v>614</v>
      </c>
      <c r="B116" s="112">
        <v>1799.5705</v>
      </c>
      <c r="C116" s="114">
        <v>37.595500000000001</v>
      </c>
      <c r="D116" s="114">
        <v>39.336799999999997</v>
      </c>
      <c r="E116" s="112">
        <v>36.725000000000001</v>
      </c>
      <c r="F116" s="112">
        <v>17013.12</v>
      </c>
      <c r="G116" s="112">
        <v>20.329999999999998</v>
      </c>
      <c r="H116" s="21">
        <v>1799.5705</v>
      </c>
      <c r="I116" s="114">
        <v>37.595500000000001</v>
      </c>
      <c r="J116" s="114">
        <v>39.336799999999997</v>
      </c>
      <c r="K116" s="21">
        <v>36.725000000000001</v>
      </c>
      <c r="L116" s="21">
        <v>17013.12</v>
      </c>
      <c r="M116" s="21">
        <v>20.329999999999998</v>
      </c>
    </row>
    <row r="117" spans="1:13" x14ac:dyDescent="0.15">
      <c r="A117" s="21" t="s">
        <v>615</v>
      </c>
      <c r="B117" s="112">
        <v>34272.669500000004</v>
      </c>
      <c r="C117" s="114">
        <v>42.5398</v>
      </c>
      <c r="D117" s="114">
        <v>44.157899999999998</v>
      </c>
      <c r="E117" s="112">
        <v>42.742699999999999</v>
      </c>
      <c r="F117" s="112">
        <v>103692.53</v>
      </c>
      <c r="G117" s="112">
        <v>43.24</v>
      </c>
      <c r="H117" s="21">
        <v>34272.669500000004</v>
      </c>
      <c r="I117" s="114">
        <v>42.5398</v>
      </c>
      <c r="J117" s="114">
        <v>44.157899999999998</v>
      </c>
      <c r="K117" s="21">
        <v>42.742699999999999</v>
      </c>
      <c r="L117" s="21">
        <v>103692.53</v>
      </c>
      <c r="M117" s="21">
        <v>43.24</v>
      </c>
    </row>
    <row r="118" spans="1:13" x14ac:dyDescent="0.15">
      <c r="A118" s="21" t="s">
        <v>616</v>
      </c>
      <c r="B118" s="112">
        <v>10793.8658</v>
      </c>
      <c r="C118" s="114">
        <v>41.439399999999999</v>
      </c>
      <c r="D118" s="114">
        <v>42.541899999999998</v>
      </c>
      <c r="E118" s="112">
        <v>40.391399999999997</v>
      </c>
      <c r="F118" s="112">
        <v>57351.23</v>
      </c>
      <c r="G118" s="112">
        <v>31.15</v>
      </c>
      <c r="H118" s="21">
        <v>10793.8658</v>
      </c>
      <c r="I118" s="114">
        <v>41.439399999999999</v>
      </c>
      <c r="J118" s="114">
        <v>42.541899999999998</v>
      </c>
      <c r="K118" s="21">
        <v>40.391399999999997</v>
      </c>
      <c r="L118" s="21">
        <v>57351.23</v>
      </c>
      <c r="M118" s="21">
        <v>31.15</v>
      </c>
    </row>
    <row r="119" spans="1:13" x14ac:dyDescent="0.15">
      <c r="A119" s="21" t="s">
        <v>617</v>
      </c>
      <c r="B119" s="112">
        <v>6271.0767999999998</v>
      </c>
      <c r="C119" s="114">
        <v>40.6995</v>
      </c>
      <c r="D119" s="114">
        <v>41.171999999999997</v>
      </c>
      <c r="E119" s="112">
        <v>39.095500000000001</v>
      </c>
      <c r="F119" s="112">
        <v>30978.03</v>
      </c>
      <c r="G119" s="112">
        <v>26.63</v>
      </c>
      <c r="H119" s="21">
        <v>6271.0767999999998</v>
      </c>
      <c r="I119" s="114">
        <v>40.6995</v>
      </c>
      <c r="J119" s="114">
        <v>41.171999999999997</v>
      </c>
      <c r="K119" s="21">
        <v>39.095500000000001</v>
      </c>
      <c r="L119" s="21">
        <v>30978.03</v>
      </c>
      <c r="M119" s="21">
        <v>26.63</v>
      </c>
    </row>
    <row r="120" spans="1:13" x14ac:dyDescent="0.15">
      <c r="A120" s="21" t="s">
        <v>618</v>
      </c>
      <c r="B120" s="112">
        <v>3747.1232</v>
      </c>
      <c r="C120" s="114">
        <v>39.990099999999998</v>
      </c>
      <c r="D120" s="114">
        <v>39.9435</v>
      </c>
      <c r="E120" s="112">
        <v>37.393999999999998</v>
      </c>
      <c r="F120" s="112">
        <v>16477.59</v>
      </c>
      <c r="G120" s="112">
        <v>24.23</v>
      </c>
      <c r="H120" s="21">
        <v>3747.1232</v>
      </c>
      <c r="I120" s="114">
        <v>39.990099999999998</v>
      </c>
      <c r="J120" s="114">
        <v>39.9435</v>
      </c>
      <c r="K120" s="21">
        <v>37.393999999999998</v>
      </c>
      <c r="L120" s="21">
        <v>16477.59</v>
      </c>
      <c r="M120" s="21">
        <v>24.23</v>
      </c>
    </row>
    <row r="121" spans="1:13" x14ac:dyDescent="0.15">
      <c r="A121" s="21" t="s">
        <v>619</v>
      </c>
      <c r="B121" s="112">
        <v>56322.707399999999</v>
      </c>
      <c r="C121" s="114">
        <v>46.065800000000003</v>
      </c>
      <c r="D121" s="114">
        <v>44.0854</v>
      </c>
      <c r="E121" s="112">
        <v>42.372199999999999</v>
      </c>
      <c r="F121" s="112">
        <v>134480.18</v>
      </c>
      <c r="G121" s="112">
        <v>50.75</v>
      </c>
      <c r="H121" s="21">
        <v>56322.707399999999</v>
      </c>
      <c r="I121" s="114">
        <v>46.065800000000003</v>
      </c>
      <c r="J121" s="114">
        <v>44.0854</v>
      </c>
      <c r="K121" s="21">
        <v>42.372199999999999</v>
      </c>
      <c r="L121" s="21">
        <v>134480.18</v>
      </c>
      <c r="M121" s="21">
        <v>50.75</v>
      </c>
    </row>
    <row r="122" spans="1:13" x14ac:dyDescent="0.15">
      <c r="A122" s="21" t="s">
        <v>620</v>
      </c>
      <c r="B122" s="112">
        <v>11315.8784</v>
      </c>
      <c r="C122" s="114">
        <v>44.833500000000001</v>
      </c>
      <c r="D122" s="114">
        <v>42.469200000000001</v>
      </c>
      <c r="E122" s="112">
        <v>38.952399999999997</v>
      </c>
      <c r="F122" s="112">
        <v>74952.3</v>
      </c>
      <c r="G122" s="112">
        <v>30.48</v>
      </c>
      <c r="H122" s="21">
        <v>11315.8784</v>
      </c>
      <c r="I122" s="114">
        <v>44.833500000000001</v>
      </c>
      <c r="J122" s="114">
        <v>42.469200000000001</v>
      </c>
      <c r="K122" s="21">
        <v>38.952399999999997</v>
      </c>
      <c r="L122" s="21">
        <v>74952.3</v>
      </c>
      <c r="M122" s="21">
        <v>30.48</v>
      </c>
    </row>
    <row r="123" spans="1:13" x14ac:dyDescent="0.15">
      <c r="A123" s="21" t="s">
        <v>621</v>
      </c>
      <c r="B123" s="112">
        <v>6107.4062999999996</v>
      </c>
      <c r="C123" s="114">
        <v>43.769500000000001</v>
      </c>
      <c r="D123" s="114">
        <v>41.164299999999997</v>
      </c>
      <c r="E123" s="112">
        <v>37.903399999999998</v>
      </c>
      <c r="F123" s="112">
        <v>38175.85</v>
      </c>
      <c r="G123" s="112">
        <v>26.55</v>
      </c>
      <c r="H123" s="21">
        <v>6107.4062999999996</v>
      </c>
      <c r="I123" s="114">
        <v>43.769500000000001</v>
      </c>
      <c r="J123" s="114">
        <v>41.164299999999997</v>
      </c>
      <c r="K123" s="21">
        <v>37.903399999999998</v>
      </c>
      <c r="L123" s="21">
        <v>38175.85</v>
      </c>
      <c r="M123" s="21">
        <v>26.55</v>
      </c>
    </row>
    <row r="124" spans="1:13" x14ac:dyDescent="0.15">
      <c r="A124" s="21" t="s">
        <v>622</v>
      </c>
      <c r="B124" s="112">
        <v>3408.2842000000001</v>
      </c>
      <c r="C124" s="114">
        <v>42.8782</v>
      </c>
      <c r="D124" s="114">
        <v>40.1783</v>
      </c>
      <c r="E124" s="112">
        <v>36.518000000000001</v>
      </c>
      <c r="F124" s="112">
        <v>18622.23</v>
      </c>
      <c r="G124" s="112">
        <v>22.28</v>
      </c>
      <c r="H124" s="21">
        <v>3408.2842000000001</v>
      </c>
      <c r="I124" s="114">
        <v>42.8782</v>
      </c>
      <c r="J124" s="114">
        <v>40.1783</v>
      </c>
      <c r="K124" s="21">
        <v>36.518000000000001</v>
      </c>
      <c r="L124" s="21">
        <v>18622.23</v>
      </c>
      <c r="M124" s="21">
        <v>22.28</v>
      </c>
    </row>
    <row r="125" spans="1:13" x14ac:dyDescent="0.15">
      <c r="A125" s="21" t="s">
        <v>623</v>
      </c>
      <c r="B125" s="112">
        <v>51483.140800000001</v>
      </c>
      <c r="C125" s="114">
        <v>40.778799999999997</v>
      </c>
      <c r="D125" s="114">
        <v>41.200499999999998</v>
      </c>
      <c r="E125" s="112">
        <v>44.000100000000003</v>
      </c>
      <c r="F125" s="112">
        <v>109751.54</v>
      </c>
      <c r="G125" s="112">
        <v>46.3</v>
      </c>
      <c r="H125" s="21">
        <v>51483.140800000001</v>
      </c>
      <c r="I125" s="114">
        <v>40.778799999999997</v>
      </c>
      <c r="J125" s="114">
        <v>41.200499999999998</v>
      </c>
      <c r="K125" s="21">
        <v>44.000100000000003</v>
      </c>
      <c r="L125" s="21">
        <v>109751.54</v>
      </c>
      <c r="M125" s="21">
        <v>46.3</v>
      </c>
    </row>
    <row r="126" spans="1:13" x14ac:dyDescent="0.15">
      <c r="A126" s="21" t="s">
        <v>624</v>
      </c>
      <c r="B126" s="112">
        <v>29380.397400000002</v>
      </c>
      <c r="C126" s="114">
        <v>37.029800000000002</v>
      </c>
      <c r="D126" s="114">
        <v>37.888100000000001</v>
      </c>
      <c r="E126" s="112">
        <v>40.337699999999998</v>
      </c>
      <c r="F126" s="112">
        <v>78902.320000000007</v>
      </c>
      <c r="G126" s="112">
        <v>40.26</v>
      </c>
      <c r="H126" s="21">
        <v>29380.397400000002</v>
      </c>
      <c r="I126" s="114">
        <v>37.029800000000002</v>
      </c>
      <c r="J126" s="114">
        <v>37.888100000000001</v>
      </c>
      <c r="K126" s="21">
        <v>40.337699999999998</v>
      </c>
      <c r="L126" s="21">
        <v>78902.320000000007</v>
      </c>
      <c r="M126" s="21">
        <v>40.26</v>
      </c>
    </row>
    <row r="127" spans="1:13" x14ac:dyDescent="0.15">
      <c r="A127" s="21" t="s">
        <v>625</v>
      </c>
      <c r="B127" s="112">
        <v>16468.1842</v>
      </c>
      <c r="C127" s="114">
        <v>34.487499999999997</v>
      </c>
      <c r="D127" s="114">
        <v>35.606000000000002</v>
      </c>
      <c r="E127" s="112">
        <v>37.411099999999998</v>
      </c>
      <c r="F127" s="112">
        <v>58425.91</v>
      </c>
      <c r="G127" s="112">
        <v>34.6</v>
      </c>
      <c r="H127" s="21">
        <v>16468.1842</v>
      </c>
      <c r="I127" s="114">
        <v>34.487499999999997</v>
      </c>
      <c r="J127" s="114">
        <v>35.606000000000002</v>
      </c>
      <c r="K127" s="21">
        <v>37.411099999999998</v>
      </c>
      <c r="L127" s="21">
        <v>58425.91</v>
      </c>
      <c r="M127" s="21">
        <v>34.6</v>
      </c>
    </row>
    <row r="128" spans="1:13" x14ac:dyDescent="0.15">
      <c r="A128" s="21" t="s">
        <v>626</v>
      </c>
      <c r="B128" s="112">
        <v>9022.8132000000005</v>
      </c>
      <c r="C128" s="114">
        <v>32.760300000000001</v>
      </c>
      <c r="D128" s="114">
        <v>34.065899999999999</v>
      </c>
      <c r="E128" s="112">
        <v>34.8932</v>
      </c>
      <c r="F128" s="112">
        <v>35054.81</v>
      </c>
      <c r="G128" s="112">
        <v>28.93</v>
      </c>
      <c r="H128" s="21">
        <v>9022.8132000000005</v>
      </c>
      <c r="I128" s="114">
        <v>32.760300000000001</v>
      </c>
      <c r="J128" s="114">
        <v>34.065899999999999</v>
      </c>
      <c r="K128" s="21">
        <v>34.8932</v>
      </c>
      <c r="L128" s="21">
        <v>35054.81</v>
      </c>
      <c r="M128" s="21">
        <v>28.93</v>
      </c>
    </row>
    <row r="129" spans="1:13" x14ac:dyDescent="0.15">
      <c r="A129" s="21" t="s">
        <v>627</v>
      </c>
      <c r="B129" s="112">
        <v>10336.5784</v>
      </c>
      <c r="C129" s="114">
        <v>45.150100000000002</v>
      </c>
      <c r="D129" s="114">
        <v>45.806600000000003</v>
      </c>
      <c r="E129" s="112">
        <v>43.529499999999999</v>
      </c>
      <c r="F129" s="112">
        <v>56203.65</v>
      </c>
      <c r="G129" s="112">
        <v>21.31</v>
      </c>
      <c r="H129" s="21">
        <v>10336.5784</v>
      </c>
      <c r="I129" s="114">
        <v>45.150100000000002</v>
      </c>
      <c r="J129" s="114">
        <v>45.806600000000003</v>
      </c>
      <c r="K129" s="21">
        <v>43.529499999999999</v>
      </c>
      <c r="L129" s="21">
        <v>56203.65</v>
      </c>
      <c r="M129" s="21">
        <v>21.31</v>
      </c>
    </row>
    <row r="130" spans="1:13" x14ac:dyDescent="0.15">
      <c r="A130" s="21" t="s">
        <v>628</v>
      </c>
      <c r="B130" s="112">
        <v>5536.9831999999997</v>
      </c>
      <c r="C130" s="114">
        <v>43.026499999999999</v>
      </c>
      <c r="D130" s="114">
        <v>44.082299999999996</v>
      </c>
      <c r="E130" s="112">
        <v>40.972900000000003</v>
      </c>
      <c r="F130" s="112">
        <v>36968.339999999997</v>
      </c>
      <c r="G130" s="112">
        <v>17.43</v>
      </c>
      <c r="H130" s="21">
        <v>5536.9831999999997</v>
      </c>
      <c r="I130" s="114">
        <v>43.026499999999999</v>
      </c>
      <c r="J130" s="114">
        <v>44.082299999999996</v>
      </c>
      <c r="K130" s="21">
        <v>40.972900000000003</v>
      </c>
      <c r="L130" s="21">
        <v>36968.339999999997</v>
      </c>
      <c r="M130" s="21">
        <v>17.43</v>
      </c>
    </row>
    <row r="131" spans="1:13" x14ac:dyDescent="0.15">
      <c r="A131" s="21" t="s">
        <v>629</v>
      </c>
      <c r="B131" s="112">
        <v>3059.8912</v>
      </c>
      <c r="C131" s="114">
        <v>41.551600000000001</v>
      </c>
      <c r="D131" s="114">
        <v>42.6965</v>
      </c>
      <c r="E131" s="112">
        <v>38.505200000000002</v>
      </c>
      <c r="F131" s="112">
        <v>23988.959999999999</v>
      </c>
      <c r="G131" s="112">
        <v>13.69</v>
      </c>
      <c r="H131" s="21">
        <v>3059.8912</v>
      </c>
      <c r="I131" s="114">
        <v>41.551600000000001</v>
      </c>
      <c r="J131" s="114">
        <v>42.6965</v>
      </c>
      <c r="K131" s="21">
        <v>38.505200000000002</v>
      </c>
      <c r="L131" s="21">
        <v>23988.959999999999</v>
      </c>
      <c r="M131" s="21">
        <v>13.69</v>
      </c>
    </row>
    <row r="132" spans="1:13" x14ac:dyDescent="0.15">
      <c r="A132" s="21" t="s">
        <v>630</v>
      </c>
      <c r="B132" s="112">
        <v>1621.8879999999999</v>
      </c>
      <c r="C132" s="114">
        <v>40.495100000000001</v>
      </c>
      <c r="D132" s="114">
        <v>41.5627</v>
      </c>
      <c r="E132" s="112">
        <v>35.920200000000001</v>
      </c>
      <c r="F132" s="112">
        <v>13626.85</v>
      </c>
      <c r="G132" s="112">
        <v>11.92</v>
      </c>
      <c r="H132" s="21">
        <v>1621.8879999999999</v>
      </c>
      <c r="I132" s="114">
        <v>40.495100000000001</v>
      </c>
      <c r="J132" s="114">
        <v>41.5627</v>
      </c>
      <c r="K132" s="21">
        <v>35.920200000000001</v>
      </c>
      <c r="L132" s="21">
        <v>13626.85</v>
      </c>
      <c r="M132" s="21">
        <v>11.92</v>
      </c>
    </row>
    <row r="133" spans="1:13" x14ac:dyDescent="0.15">
      <c r="A133" s="21" t="s">
        <v>631</v>
      </c>
      <c r="B133" s="112">
        <v>6006.5216</v>
      </c>
      <c r="C133" s="114">
        <v>48.206000000000003</v>
      </c>
      <c r="D133" s="114">
        <v>49.523099999999999</v>
      </c>
      <c r="E133" s="112">
        <v>46.685699999999997</v>
      </c>
      <c r="F133" s="112">
        <v>36860.89</v>
      </c>
      <c r="G133" s="112">
        <v>19.47</v>
      </c>
      <c r="H133" s="21">
        <v>6006.5216</v>
      </c>
      <c r="I133" s="114">
        <v>48.206000000000003</v>
      </c>
      <c r="J133" s="114">
        <v>49.523099999999999</v>
      </c>
      <c r="K133" s="21">
        <v>46.685699999999997</v>
      </c>
      <c r="L133" s="21">
        <v>36860.89</v>
      </c>
      <c r="M133" s="21">
        <v>19.47</v>
      </c>
    </row>
    <row r="134" spans="1:13" x14ac:dyDescent="0.15">
      <c r="A134" s="21" t="s">
        <v>632</v>
      </c>
      <c r="B134" s="112">
        <v>3632.4648000000002</v>
      </c>
      <c r="C134" s="114">
        <v>45.805700000000002</v>
      </c>
      <c r="D134" s="114">
        <v>46.988300000000002</v>
      </c>
      <c r="E134" s="112">
        <v>44.0441</v>
      </c>
      <c r="F134" s="112">
        <v>24794.23</v>
      </c>
      <c r="G134" s="112">
        <v>16.440000000000001</v>
      </c>
      <c r="H134" s="21">
        <v>3632.4648000000002</v>
      </c>
      <c r="I134" s="114">
        <v>45.805700000000002</v>
      </c>
      <c r="J134" s="114">
        <v>46.988300000000002</v>
      </c>
      <c r="K134" s="21">
        <v>44.0441</v>
      </c>
      <c r="L134" s="21">
        <v>24794.23</v>
      </c>
      <c r="M134" s="21">
        <v>16.440000000000001</v>
      </c>
    </row>
    <row r="135" spans="1:13" x14ac:dyDescent="0.15">
      <c r="A135" s="21" t="s">
        <v>633</v>
      </c>
      <c r="B135" s="112">
        <v>2054.2303999999999</v>
      </c>
      <c r="C135" s="114">
        <v>44.013599999999997</v>
      </c>
      <c r="D135" s="114">
        <v>45.0184</v>
      </c>
      <c r="E135" s="112">
        <v>41.237200000000001</v>
      </c>
      <c r="F135" s="112">
        <v>17211.490000000002</v>
      </c>
      <c r="G135" s="112">
        <v>13.82</v>
      </c>
      <c r="H135" s="21">
        <v>2054.2303999999999</v>
      </c>
      <c r="I135" s="114">
        <v>44.013599999999997</v>
      </c>
      <c r="J135" s="114">
        <v>45.0184</v>
      </c>
      <c r="K135" s="21">
        <v>41.237200000000001</v>
      </c>
      <c r="L135" s="21">
        <v>17211.490000000002</v>
      </c>
      <c r="M135" s="21">
        <v>13.82</v>
      </c>
    </row>
    <row r="136" spans="1:13" x14ac:dyDescent="0.15">
      <c r="A136" s="21" t="s">
        <v>634</v>
      </c>
      <c r="B136" s="112">
        <v>1127.6088</v>
      </c>
      <c r="C136" s="114">
        <v>42.771799999999999</v>
      </c>
      <c r="D136" s="114">
        <v>43.486699999999999</v>
      </c>
      <c r="E136" s="112">
        <v>38.485799999999998</v>
      </c>
      <c r="F136" s="112">
        <v>9632.09</v>
      </c>
      <c r="G136" s="112">
        <v>11.53</v>
      </c>
      <c r="H136" s="21">
        <v>1127.6088</v>
      </c>
      <c r="I136" s="114">
        <v>42.771799999999999</v>
      </c>
      <c r="J136" s="114">
        <v>43.486699999999999</v>
      </c>
      <c r="K136" s="21">
        <v>38.485799999999998</v>
      </c>
      <c r="L136" s="21">
        <v>9632.09</v>
      </c>
      <c r="M136" s="21">
        <v>11.53</v>
      </c>
    </row>
    <row r="137" spans="1:13" x14ac:dyDescent="0.15">
      <c r="A137" s="21" t="s">
        <v>635</v>
      </c>
      <c r="B137" s="112">
        <v>12542.846799999999</v>
      </c>
      <c r="C137" s="114">
        <v>41.7301</v>
      </c>
      <c r="D137" s="114">
        <v>44.334400000000002</v>
      </c>
      <c r="E137" s="112">
        <v>41.647799999999997</v>
      </c>
      <c r="F137" s="112">
        <v>61474.18</v>
      </c>
      <c r="G137" s="112">
        <v>24.06</v>
      </c>
      <c r="H137" s="21">
        <v>12542.846799999999</v>
      </c>
      <c r="I137" s="114">
        <v>41.7301</v>
      </c>
      <c r="J137" s="114">
        <v>44.334400000000002</v>
      </c>
      <c r="K137" s="21">
        <v>41.647799999999997</v>
      </c>
      <c r="L137" s="21">
        <v>61474.18</v>
      </c>
      <c r="M137" s="21">
        <v>24.06</v>
      </c>
    </row>
    <row r="138" spans="1:13" x14ac:dyDescent="0.15">
      <c r="A138" s="21" t="s">
        <v>636</v>
      </c>
      <c r="B138" s="112">
        <v>5428.9261999999999</v>
      </c>
      <c r="C138" s="114">
        <v>39.585099999999997</v>
      </c>
      <c r="D138" s="114">
        <v>42.363399999999999</v>
      </c>
      <c r="E138" s="112">
        <v>38.953000000000003</v>
      </c>
      <c r="F138" s="112">
        <v>40598.339999999997</v>
      </c>
      <c r="G138" s="112">
        <v>17.39</v>
      </c>
      <c r="H138" s="21">
        <v>5428.9261999999999</v>
      </c>
      <c r="I138" s="114">
        <v>39.585099999999997</v>
      </c>
      <c r="J138" s="114">
        <v>42.363399999999999</v>
      </c>
      <c r="K138" s="21">
        <v>38.953000000000003</v>
      </c>
      <c r="L138" s="21">
        <v>40598.339999999997</v>
      </c>
      <c r="M138" s="21">
        <v>17.39</v>
      </c>
    </row>
    <row r="139" spans="1:13" x14ac:dyDescent="0.15">
      <c r="A139" s="21" t="s">
        <v>637</v>
      </c>
      <c r="B139" s="112">
        <v>2926.3975999999998</v>
      </c>
      <c r="C139" s="114">
        <v>38.655700000000003</v>
      </c>
      <c r="D139" s="114">
        <v>40.793199999999999</v>
      </c>
      <c r="E139" s="112">
        <v>37.019799999999996</v>
      </c>
      <c r="F139" s="112">
        <v>26105.279999999999</v>
      </c>
      <c r="G139" s="112">
        <v>14.48</v>
      </c>
      <c r="H139" s="21">
        <v>2926.3975999999998</v>
      </c>
      <c r="I139" s="114">
        <v>38.655700000000003</v>
      </c>
      <c r="J139" s="114">
        <v>40.793199999999999</v>
      </c>
      <c r="K139" s="21">
        <v>37.019799999999996</v>
      </c>
      <c r="L139" s="21">
        <v>26105.279999999999</v>
      </c>
      <c r="M139" s="21">
        <v>14.48</v>
      </c>
    </row>
    <row r="140" spans="1:13" x14ac:dyDescent="0.15">
      <c r="A140" s="21" t="s">
        <v>638</v>
      </c>
      <c r="B140" s="112">
        <v>1580.2563</v>
      </c>
      <c r="C140" s="114">
        <v>37.892899999999997</v>
      </c>
      <c r="D140" s="114">
        <v>39.605899999999998</v>
      </c>
      <c r="E140" s="112">
        <v>34.902099999999997</v>
      </c>
      <c r="F140" s="112">
        <v>14875.76</v>
      </c>
      <c r="G140" s="112">
        <v>10.95</v>
      </c>
      <c r="H140" s="21">
        <v>1580.2563</v>
      </c>
      <c r="I140" s="114">
        <v>37.892899999999997</v>
      </c>
      <c r="J140" s="114">
        <v>39.605899999999998</v>
      </c>
      <c r="K140" s="21">
        <v>34.902099999999997</v>
      </c>
      <c r="L140" s="21">
        <v>14875.76</v>
      </c>
      <c r="M140" s="21">
        <v>10.95</v>
      </c>
    </row>
    <row r="141" spans="1:13" x14ac:dyDescent="0.15">
      <c r="A141" s="21" t="s">
        <v>639</v>
      </c>
      <c r="B141" s="112">
        <v>7945.3936999999996</v>
      </c>
      <c r="C141" s="114">
        <v>44.671599999999998</v>
      </c>
      <c r="D141" s="114">
        <v>46.551900000000003</v>
      </c>
      <c r="E141" s="112">
        <v>42.454500000000003</v>
      </c>
      <c r="F141" s="112">
        <v>51499.28</v>
      </c>
      <c r="G141" s="112">
        <v>20.55</v>
      </c>
      <c r="H141" s="21">
        <v>7945.3936999999996</v>
      </c>
      <c r="I141" s="114">
        <v>44.671599999999998</v>
      </c>
      <c r="J141" s="114">
        <v>46.551900000000003</v>
      </c>
      <c r="K141" s="21">
        <v>42.454500000000003</v>
      </c>
      <c r="L141" s="21">
        <v>51499.28</v>
      </c>
      <c r="M141" s="21">
        <v>20.55</v>
      </c>
    </row>
    <row r="142" spans="1:13" x14ac:dyDescent="0.15">
      <c r="A142" s="21" t="s">
        <v>640</v>
      </c>
      <c r="B142" s="112">
        <v>3335.8182999999999</v>
      </c>
      <c r="C142" s="114">
        <v>43.361899999999999</v>
      </c>
      <c r="D142" s="114">
        <v>44.539499999999997</v>
      </c>
      <c r="E142" s="112">
        <v>40.217300000000002</v>
      </c>
      <c r="F142" s="112">
        <v>34059.589999999997</v>
      </c>
      <c r="G142" s="112">
        <v>15.48</v>
      </c>
      <c r="H142" s="21">
        <v>3335.8182999999999</v>
      </c>
      <c r="I142" s="114">
        <v>43.361899999999999</v>
      </c>
      <c r="J142" s="114">
        <v>44.539499999999997</v>
      </c>
      <c r="K142" s="21">
        <v>40.217300000000002</v>
      </c>
      <c r="L142" s="21">
        <v>34059.589999999997</v>
      </c>
      <c r="M142" s="21">
        <v>15.48</v>
      </c>
    </row>
    <row r="143" spans="1:13" x14ac:dyDescent="0.15">
      <c r="A143" s="21" t="s">
        <v>641</v>
      </c>
      <c r="B143" s="112">
        <v>1682.9262000000001</v>
      </c>
      <c r="C143" s="114">
        <v>42.187100000000001</v>
      </c>
      <c r="D143" s="114">
        <v>42.793799999999997</v>
      </c>
      <c r="E143" s="112">
        <v>38.538200000000003</v>
      </c>
      <c r="F143" s="112">
        <v>19175.439999999999</v>
      </c>
      <c r="G143" s="112">
        <v>12.41</v>
      </c>
      <c r="H143" s="21">
        <v>1682.9262000000001</v>
      </c>
      <c r="I143" s="114">
        <v>42.187100000000001</v>
      </c>
      <c r="J143" s="114">
        <v>42.793799999999997</v>
      </c>
      <c r="K143" s="21">
        <v>38.538200000000003</v>
      </c>
      <c r="L143" s="21">
        <v>19175.439999999999</v>
      </c>
      <c r="M143" s="21">
        <v>12.41</v>
      </c>
    </row>
    <row r="144" spans="1:13" x14ac:dyDescent="0.15">
      <c r="A144" s="21" t="s">
        <v>642</v>
      </c>
      <c r="B144" s="112">
        <v>937.43889999999999</v>
      </c>
      <c r="C144" s="114">
        <v>41.205599999999997</v>
      </c>
      <c r="D144" s="114">
        <v>41.4009</v>
      </c>
      <c r="E144" s="112">
        <v>36.789400000000001</v>
      </c>
      <c r="F144" s="112">
        <v>9343.8799999999992</v>
      </c>
      <c r="G144" s="112">
        <v>10.43</v>
      </c>
      <c r="H144" s="21">
        <v>937.43889999999999</v>
      </c>
      <c r="I144" s="114">
        <v>41.205599999999997</v>
      </c>
      <c r="J144" s="114">
        <v>41.4009</v>
      </c>
      <c r="K144" s="21">
        <v>36.789400000000001</v>
      </c>
      <c r="L144" s="21">
        <v>9343.8799999999992</v>
      </c>
      <c r="M144" s="21">
        <v>10.43</v>
      </c>
    </row>
    <row r="145" spans="1:13" x14ac:dyDescent="0.15">
      <c r="A145" s="21" t="s">
        <v>643</v>
      </c>
      <c r="B145" s="112">
        <v>21088.039199999999</v>
      </c>
      <c r="C145" s="114">
        <v>42.821800000000003</v>
      </c>
      <c r="D145" s="114">
        <v>44.653500000000001</v>
      </c>
      <c r="E145" s="112">
        <v>42.868000000000002</v>
      </c>
      <c r="F145" s="112">
        <v>46057.63</v>
      </c>
      <c r="G145" s="112">
        <v>33.380000000000003</v>
      </c>
      <c r="H145" s="21">
        <v>21088.039199999999</v>
      </c>
      <c r="I145" s="114">
        <v>42.821800000000003</v>
      </c>
      <c r="J145" s="114">
        <v>44.653500000000001</v>
      </c>
      <c r="K145" s="21">
        <v>42.868000000000002</v>
      </c>
      <c r="L145" s="21">
        <v>46057.63</v>
      </c>
      <c r="M145" s="21">
        <v>33.380000000000003</v>
      </c>
    </row>
    <row r="146" spans="1:13" x14ac:dyDescent="0.15">
      <c r="A146" s="21" t="s">
        <v>644</v>
      </c>
      <c r="B146" s="112">
        <v>8365.5488000000005</v>
      </c>
      <c r="C146" s="114">
        <v>41.071800000000003</v>
      </c>
      <c r="D146" s="114">
        <v>43.320799999999998</v>
      </c>
      <c r="E146" s="112">
        <v>38.235799999999998</v>
      </c>
      <c r="F146" s="112">
        <v>51140.28</v>
      </c>
      <c r="G146" s="112">
        <v>21.67</v>
      </c>
      <c r="H146" s="21">
        <v>8365.5488000000005</v>
      </c>
      <c r="I146" s="114">
        <v>41.071800000000003</v>
      </c>
      <c r="J146" s="114">
        <v>43.320799999999998</v>
      </c>
      <c r="K146" s="21">
        <v>38.235799999999998</v>
      </c>
      <c r="L146" s="21">
        <v>51140.28</v>
      </c>
      <c r="M146" s="21">
        <v>21.67</v>
      </c>
    </row>
    <row r="147" spans="1:13" x14ac:dyDescent="0.15">
      <c r="A147" s="21" t="s">
        <v>645</v>
      </c>
      <c r="B147" s="112">
        <v>4161.1023999999998</v>
      </c>
      <c r="C147" s="114">
        <v>39.7928</v>
      </c>
      <c r="D147" s="114">
        <v>42.323900000000002</v>
      </c>
      <c r="E147" s="112">
        <v>35.961399999999998</v>
      </c>
      <c r="F147" s="112">
        <v>34831.589999999997</v>
      </c>
      <c r="G147" s="112">
        <v>17.2</v>
      </c>
      <c r="H147" s="21">
        <v>4161.1023999999998</v>
      </c>
      <c r="I147" s="114">
        <v>39.7928</v>
      </c>
      <c r="J147" s="114">
        <v>42.323900000000002</v>
      </c>
      <c r="K147" s="21">
        <v>35.961399999999998</v>
      </c>
      <c r="L147" s="21">
        <v>34831.589999999997</v>
      </c>
      <c r="M147" s="21">
        <v>17.2</v>
      </c>
    </row>
    <row r="148" spans="1:13" x14ac:dyDescent="0.15">
      <c r="A148" s="21" t="s">
        <v>646</v>
      </c>
      <c r="B148" s="112">
        <v>2187.7719999999999</v>
      </c>
      <c r="C148" s="114">
        <v>38.881599999999999</v>
      </c>
      <c r="D148" s="114">
        <v>41.573700000000002</v>
      </c>
      <c r="E148" s="112">
        <v>33.746299999999998</v>
      </c>
      <c r="F148" s="112">
        <v>20944.89</v>
      </c>
      <c r="G148" s="112">
        <v>12.91</v>
      </c>
      <c r="H148" s="21">
        <v>2187.7719999999999</v>
      </c>
      <c r="I148" s="114">
        <v>38.881599999999999</v>
      </c>
      <c r="J148" s="114">
        <v>41.573700000000002</v>
      </c>
      <c r="K148" s="21">
        <v>33.746299999999998</v>
      </c>
      <c r="L148" s="21">
        <v>20944.89</v>
      </c>
      <c r="M148" s="21">
        <v>12.91</v>
      </c>
    </row>
    <row r="149" spans="1:13" x14ac:dyDescent="0.15">
      <c r="A149" s="116" t="s">
        <v>647</v>
      </c>
      <c r="B149" s="117">
        <v>29296.799999999999</v>
      </c>
      <c r="C149" s="118">
        <v>45.168999999999997</v>
      </c>
      <c r="D149" s="118">
        <v>46.417999999999999</v>
      </c>
      <c r="E149" s="117">
        <v>47.594999999999999</v>
      </c>
      <c r="F149" s="117">
        <v>10629.44</v>
      </c>
      <c r="G149" s="112">
        <v>6.05</v>
      </c>
      <c r="H149" s="21">
        <v>2257.2031999999999</v>
      </c>
      <c r="I149" s="114">
        <v>44.0319</v>
      </c>
      <c r="J149" s="114">
        <v>44.820900000000002</v>
      </c>
      <c r="K149" s="21">
        <v>43.085299999999997</v>
      </c>
      <c r="L149" s="21">
        <v>10629.44</v>
      </c>
      <c r="M149" s="21">
        <v>6.05</v>
      </c>
    </row>
    <row r="150" spans="1:13" x14ac:dyDescent="0.15">
      <c r="A150" s="116" t="s">
        <v>648</v>
      </c>
      <c r="B150" s="117">
        <v>15417.6</v>
      </c>
      <c r="C150" s="118">
        <v>41.671999999999997</v>
      </c>
      <c r="D150" s="118">
        <v>44.527999999999999</v>
      </c>
      <c r="E150" s="117">
        <v>45.633000000000003</v>
      </c>
      <c r="F150" s="117">
        <v>8339.85</v>
      </c>
      <c r="G150" s="112">
        <v>4.16</v>
      </c>
      <c r="H150" s="21">
        <v>1236.5698</v>
      </c>
      <c r="I150" s="114">
        <v>41.560099999999998</v>
      </c>
      <c r="J150" s="114">
        <v>42.077800000000003</v>
      </c>
      <c r="K150" s="21">
        <v>40.023899999999998</v>
      </c>
      <c r="L150" s="21">
        <v>8339.85</v>
      </c>
      <c r="M150" s="21">
        <v>4.16</v>
      </c>
    </row>
    <row r="151" spans="1:13" x14ac:dyDescent="0.15">
      <c r="A151" s="116" t="s">
        <v>649</v>
      </c>
      <c r="B151" s="117">
        <v>8142.8</v>
      </c>
      <c r="C151" s="118">
        <v>38.573700000000002</v>
      </c>
      <c r="D151" s="118">
        <v>42.314100000000003</v>
      </c>
      <c r="E151" s="117">
        <v>43.365000000000002</v>
      </c>
      <c r="F151" s="117">
        <v>6110.46</v>
      </c>
      <c r="G151" s="112">
        <v>3.12</v>
      </c>
      <c r="H151" s="21">
        <v>665.05949999999996</v>
      </c>
      <c r="I151" s="114">
        <v>39.806699999999999</v>
      </c>
      <c r="J151" s="114">
        <v>40.176499999999997</v>
      </c>
      <c r="K151" s="21">
        <v>37.265500000000003</v>
      </c>
      <c r="L151" s="21">
        <v>6110.46</v>
      </c>
      <c r="M151" s="21">
        <v>3.12</v>
      </c>
    </row>
    <row r="152" spans="1:13" x14ac:dyDescent="0.15">
      <c r="A152" s="116" t="s">
        <v>650</v>
      </c>
      <c r="B152" s="117">
        <v>4278</v>
      </c>
      <c r="C152" s="118">
        <v>35.832000000000001</v>
      </c>
      <c r="D152" s="118">
        <v>40.043399999999998</v>
      </c>
      <c r="E152" s="117">
        <v>40.807299999999998</v>
      </c>
      <c r="F152" s="117">
        <v>3524.38</v>
      </c>
      <c r="G152" s="112">
        <v>2.42</v>
      </c>
      <c r="H152" s="21">
        <v>370.5127</v>
      </c>
      <c r="I152" s="114">
        <v>38.458399999999997</v>
      </c>
      <c r="J152" s="114">
        <v>38.529400000000003</v>
      </c>
      <c r="K152" s="21">
        <v>34.793300000000002</v>
      </c>
      <c r="L152" s="21">
        <v>3524.38</v>
      </c>
      <c r="M152" s="21">
        <v>2.42</v>
      </c>
    </row>
    <row r="153" spans="1:13" x14ac:dyDescent="0.15">
      <c r="A153" s="21" t="s">
        <v>651</v>
      </c>
      <c r="B153" s="112">
        <v>2650.2864</v>
      </c>
      <c r="C153" s="114">
        <v>44.361699999999999</v>
      </c>
      <c r="D153" s="114">
        <v>46.054900000000004</v>
      </c>
      <c r="E153" s="112">
        <v>43.179600000000001</v>
      </c>
      <c r="F153" s="112">
        <v>12871.27</v>
      </c>
      <c r="G153" s="112">
        <v>5.46</v>
      </c>
      <c r="H153" s="21">
        <v>2650.2864</v>
      </c>
      <c r="I153" s="114">
        <v>44.361699999999999</v>
      </c>
      <c r="J153" s="114">
        <v>46.054900000000004</v>
      </c>
      <c r="K153" s="21">
        <v>43.179600000000001</v>
      </c>
      <c r="L153" s="21">
        <v>12871.27</v>
      </c>
      <c r="M153" s="21">
        <v>5.46</v>
      </c>
    </row>
    <row r="154" spans="1:13" x14ac:dyDescent="0.15">
      <c r="A154" s="21" t="s">
        <v>652</v>
      </c>
      <c r="B154" s="112">
        <v>1600.2472</v>
      </c>
      <c r="C154" s="114">
        <v>42.222999999999999</v>
      </c>
      <c r="D154" s="114">
        <v>43.641100000000002</v>
      </c>
      <c r="E154" s="112">
        <v>40.532899999999998</v>
      </c>
      <c r="F154" s="112">
        <v>9131.67</v>
      </c>
      <c r="G154" s="112">
        <v>4.25</v>
      </c>
      <c r="H154" s="21">
        <v>1600.2472</v>
      </c>
      <c r="I154" s="114">
        <v>42.222999999999999</v>
      </c>
      <c r="J154" s="114">
        <v>43.641100000000002</v>
      </c>
      <c r="K154" s="21">
        <v>40.532899999999998</v>
      </c>
      <c r="L154" s="21">
        <v>9131.67</v>
      </c>
      <c r="M154" s="21">
        <v>4.25</v>
      </c>
    </row>
    <row r="155" spans="1:13" x14ac:dyDescent="0.15">
      <c r="A155" s="21" t="s">
        <v>653</v>
      </c>
      <c r="B155" s="112">
        <v>945.74639999999999</v>
      </c>
      <c r="C155" s="114">
        <v>40.553899999999999</v>
      </c>
      <c r="D155" s="114">
        <v>41.7699</v>
      </c>
      <c r="E155" s="112">
        <v>37.7682</v>
      </c>
      <c r="F155" s="112">
        <v>6848.09</v>
      </c>
      <c r="G155" s="112">
        <v>3.41</v>
      </c>
      <c r="H155" s="21">
        <v>945.74639999999999</v>
      </c>
      <c r="I155" s="114">
        <v>40.553899999999999</v>
      </c>
      <c r="J155" s="114">
        <v>41.7699</v>
      </c>
      <c r="K155" s="21">
        <v>37.7682</v>
      </c>
      <c r="L155" s="21">
        <v>6848.09</v>
      </c>
      <c r="M155" s="21">
        <v>3.41</v>
      </c>
    </row>
    <row r="156" spans="1:13" x14ac:dyDescent="0.15">
      <c r="A156" s="21" t="s">
        <v>654</v>
      </c>
      <c r="B156" s="112">
        <v>541.10559999999998</v>
      </c>
      <c r="C156" s="114">
        <v>39.226700000000001</v>
      </c>
      <c r="D156" s="114">
        <v>40.282499999999999</v>
      </c>
      <c r="E156" s="112">
        <v>34.922800000000002</v>
      </c>
      <c r="F156" s="112">
        <v>4658.79</v>
      </c>
      <c r="G156" s="112">
        <v>2.73</v>
      </c>
      <c r="H156" s="21">
        <v>541.10559999999998</v>
      </c>
      <c r="I156" s="114">
        <v>39.226700000000001</v>
      </c>
      <c r="J156" s="114">
        <v>40.282499999999999</v>
      </c>
      <c r="K156" s="21">
        <v>34.922800000000002</v>
      </c>
      <c r="L156" s="21">
        <v>4658.79</v>
      </c>
      <c r="M156" s="21">
        <v>2.73</v>
      </c>
    </row>
    <row r="157" spans="1:13" x14ac:dyDescent="0.15">
      <c r="A157" s="21" t="s">
        <v>655</v>
      </c>
      <c r="B157" s="112">
        <v>5149.5348999999997</v>
      </c>
      <c r="C157" s="114">
        <v>42.712600000000002</v>
      </c>
      <c r="D157" s="114">
        <v>43.823799999999999</v>
      </c>
      <c r="E157" s="112">
        <v>42.177999999999997</v>
      </c>
      <c r="F157" s="112">
        <v>12644.73</v>
      </c>
      <c r="G157" s="112">
        <v>7.57</v>
      </c>
      <c r="H157" s="21">
        <v>5149.5348999999997</v>
      </c>
      <c r="I157" s="114">
        <v>42.712600000000002</v>
      </c>
      <c r="J157" s="114">
        <v>43.823799999999999</v>
      </c>
      <c r="K157" s="21">
        <v>42.177999999999997</v>
      </c>
      <c r="L157" s="21">
        <v>12644.73</v>
      </c>
      <c r="M157" s="21">
        <v>7.57</v>
      </c>
    </row>
    <row r="158" spans="1:13" x14ac:dyDescent="0.15">
      <c r="A158" s="21" t="s">
        <v>656</v>
      </c>
      <c r="B158" s="112">
        <v>3189.0817000000002</v>
      </c>
      <c r="C158" s="114">
        <v>39.798699999999997</v>
      </c>
      <c r="D158" s="114">
        <v>40.749200000000002</v>
      </c>
      <c r="E158" s="112">
        <v>38.195399999999999</v>
      </c>
      <c r="F158" s="112">
        <v>10929.59</v>
      </c>
      <c r="G158" s="112">
        <v>5.48</v>
      </c>
      <c r="H158" s="21">
        <v>3189.0817000000002</v>
      </c>
      <c r="I158" s="114">
        <v>39.798699999999997</v>
      </c>
      <c r="J158" s="114">
        <v>40.749200000000002</v>
      </c>
      <c r="K158" s="21">
        <v>38.195399999999999</v>
      </c>
      <c r="L158" s="21">
        <v>10929.59</v>
      </c>
      <c r="M158" s="21">
        <v>5.48</v>
      </c>
    </row>
    <row r="159" spans="1:13" x14ac:dyDescent="0.15">
      <c r="A159" s="21" t="s">
        <v>657</v>
      </c>
      <c r="B159" s="112">
        <v>1908.8222000000001</v>
      </c>
      <c r="C159" s="114">
        <v>37.872399999999999</v>
      </c>
      <c r="D159" s="114">
        <v>38.6477</v>
      </c>
      <c r="E159" s="112">
        <v>34.755800000000001</v>
      </c>
      <c r="F159" s="112">
        <v>9142.33</v>
      </c>
      <c r="G159" s="112">
        <v>4.47</v>
      </c>
      <c r="H159" s="21">
        <v>1908.8222000000001</v>
      </c>
      <c r="I159" s="114">
        <v>37.872399999999999</v>
      </c>
      <c r="J159" s="114">
        <v>38.6477</v>
      </c>
      <c r="K159" s="21">
        <v>34.755800000000001</v>
      </c>
      <c r="L159" s="21">
        <v>9142.33</v>
      </c>
      <c r="M159" s="21">
        <v>4.47</v>
      </c>
    </row>
    <row r="160" spans="1:13" x14ac:dyDescent="0.15">
      <c r="A160" s="21" t="s">
        <v>658</v>
      </c>
      <c r="B160" s="112">
        <v>1035.6451999999999</v>
      </c>
      <c r="C160" s="114">
        <v>36.454700000000003</v>
      </c>
      <c r="D160" s="114">
        <v>37.134900000000002</v>
      </c>
      <c r="E160" s="112">
        <v>31.3628</v>
      </c>
      <c r="F160" s="112">
        <v>7066.1</v>
      </c>
      <c r="G160" s="112">
        <v>3.28</v>
      </c>
      <c r="H160" s="21">
        <v>1035.6451999999999</v>
      </c>
      <c r="I160" s="114">
        <v>36.454700000000003</v>
      </c>
      <c r="J160" s="114">
        <v>37.134900000000002</v>
      </c>
      <c r="K160" s="21">
        <v>31.3628</v>
      </c>
      <c r="L160" s="21">
        <v>7066.1</v>
      </c>
      <c r="M160" s="21">
        <v>3.28</v>
      </c>
    </row>
    <row r="161" spans="1:13" x14ac:dyDescent="0.15">
      <c r="A161" s="21" t="s">
        <v>659</v>
      </c>
      <c r="B161" s="112">
        <v>1764.4239</v>
      </c>
      <c r="C161" s="114">
        <v>43.573500000000003</v>
      </c>
      <c r="D161" s="114">
        <v>44.423200000000001</v>
      </c>
      <c r="E161" s="112">
        <v>43.2545</v>
      </c>
      <c r="F161" s="112">
        <v>6277.66</v>
      </c>
      <c r="G161" s="112">
        <v>2.85</v>
      </c>
      <c r="H161" s="21">
        <v>1764.4239</v>
      </c>
      <c r="I161" s="114">
        <v>43.573500000000003</v>
      </c>
      <c r="J161" s="114">
        <v>44.423200000000001</v>
      </c>
      <c r="K161" s="21">
        <v>43.2545</v>
      </c>
      <c r="L161" s="21">
        <v>6277.66</v>
      </c>
      <c r="M161" s="21">
        <v>2.85</v>
      </c>
    </row>
    <row r="162" spans="1:13" x14ac:dyDescent="0.15">
      <c r="A162" s="21" t="s">
        <v>660</v>
      </c>
      <c r="B162" s="112">
        <v>1077.5961</v>
      </c>
      <c r="C162" s="114">
        <v>40.310299999999998</v>
      </c>
      <c r="D162" s="114">
        <v>41.778700000000001</v>
      </c>
      <c r="E162" s="112">
        <v>40.020299999999999</v>
      </c>
      <c r="F162" s="112">
        <v>4978.6899999999996</v>
      </c>
      <c r="G162" s="112">
        <v>2.4500000000000002</v>
      </c>
      <c r="H162" s="21">
        <v>1077.5961</v>
      </c>
      <c r="I162" s="114">
        <v>40.310299999999998</v>
      </c>
      <c r="J162" s="114">
        <v>41.778700000000001</v>
      </c>
      <c r="K162" s="21">
        <v>40.020299999999999</v>
      </c>
      <c r="L162" s="21">
        <v>4978.6899999999996</v>
      </c>
      <c r="M162" s="21">
        <v>2.4500000000000002</v>
      </c>
    </row>
    <row r="163" spans="1:13" x14ac:dyDescent="0.15">
      <c r="A163" s="21" t="s">
        <v>661</v>
      </c>
      <c r="B163" s="112">
        <v>621.58180000000004</v>
      </c>
      <c r="C163" s="114">
        <v>38.102200000000003</v>
      </c>
      <c r="D163" s="114">
        <v>40.0777</v>
      </c>
      <c r="E163" s="112">
        <v>36.892600000000002</v>
      </c>
      <c r="F163" s="112">
        <v>3848.8</v>
      </c>
      <c r="G163" s="112">
        <v>1.99</v>
      </c>
      <c r="H163" s="21">
        <v>621.58180000000004</v>
      </c>
      <c r="I163" s="114">
        <v>38.102200000000003</v>
      </c>
      <c r="J163" s="114">
        <v>40.0777</v>
      </c>
      <c r="K163" s="21">
        <v>36.892600000000002</v>
      </c>
      <c r="L163" s="21">
        <v>3848.8</v>
      </c>
      <c r="M163" s="21">
        <v>1.99</v>
      </c>
    </row>
    <row r="164" spans="1:13" x14ac:dyDescent="0.15">
      <c r="A164" s="21" t="s">
        <v>662</v>
      </c>
      <c r="B164" s="112">
        <v>319.15179999999998</v>
      </c>
      <c r="C164" s="114">
        <v>36.793399999999998</v>
      </c>
      <c r="D164" s="114">
        <v>38.788499999999999</v>
      </c>
      <c r="E164" s="112">
        <v>33.700099999999999</v>
      </c>
      <c r="F164" s="112">
        <v>2611.96</v>
      </c>
      <c r="G164" s="112">
        <v>1.52</v>
      </c>
      <c r="H164" s="21">
        <v>319.15179999999998</v>
      </c>
      <c r="I164" s="114">
        <v>36.793399999999998</v>
      </c>
      <c r="J164" s="114">
        <v>38.788499999999999</v>
      </c>
      <c r="K164" s="21">
        <v>33.700099999999999</v>
      </c>
      <c r="L164" s="21">
        <v>2611.96</v>
      </c>
      <c r="M164" s="21">
        <v>1.52</v>
      </c>
    </row>
    <row r="165" spans="1:13" x14ac:dyDescent="0.15">
      <c r="A165" s="21" t="s">
        <v>663</v>
      </c>
      <c r="B165" s="112">
        <v>588.01110000000006</v>
      </c>
      <c r="C165" s="114">
        <v>45.608199999999997</v>
      </c>
      <c r="D165" s="114">
        <v>45.391800000000003</v>
      </c>
      <c r="E165" s="112">
        <v>44.064300000000003</v>
      </c>
      <c r="F165" s="112">
        <v>2575.96</v>
      </c>
      <c r="G165" s="112">
        <v>1.28</v>
      </c>
      <c r="H165" s="21">
        <v>588.01110000000006</v>
      </c>
      <c r="I165" s="114">
        <v>45.608199999999997</v>
      </c>
      <c r="J165" s="114">
        <v>45.391800000000003</v>
      </c>
      <c r="K165" s="21">
        <v>44.064300000000003</v>
      </c>
      <c r="L165" s="21">
        <v>2575.96</v>
      </c>
      <c r="M165" s="21">
        <v>1.28</v>
      </c>
    </row>
    <row r="166" spans="1:13" x14ac:dyDescent="0.15">
      <c r="A166" s="21" t="s">
        <v>664</v>
      </c>
      <c r="B166" s="112">
        <v>351.94049999999999</v>
      </c>
      <c r="C166" s="114">
        <v>42.7776</v>
      </c>
      <c r="D166" s="114">
        <v>42.204700000000003</v>
      </c>
      <c r="E166" s="112">
        <v>40.5916</v>
      </c>
      <c r="F166" s="112">
        <v>2041.89</v>
      </c>
      <c r="G166" s="112">
        <v>0.99</v>
      </c>
      <c r="H166" s="21">
        <v>351.94049999999999</v>
      </c>
      <c r="I166" s="114">
        <v>42.7776</v>
      </c>
      <c r="J166" s="114">
        <v>42.204700000000003</v>
      </c>
      <c r="K166" s="21">
        <v>40.5916</v>
      </c>
      <c r="L166" s="21">
        <v>2041.89</v>
      </c>
      <c r="M166" s="21">
        <v>0.99</v>
      </c>
    </row>
    <row r="167" spans="1:13" x14ac:dyDescent="0.15">
      <c r="A167" s="21" t="s">
        <v>665</v>
      </c>
      <c r="B167" s="112">
        <v>203.10239999999999</v>
      </c>
      <c r="C167" s="114">
        <v>40.616599999999998</v>
      </c>
      <c r="D167" s="114">
        <v>39.848599999999998</v>
      </c>
      <c r="E167" s="112">
        <v>37.421300000000002</v>
      </c>
      <c r="F167" s="112">
        <v>1550.29</v>
      </c>
      <c r="G167" s="112">
        <v>0.8</v>
      </c>
      <c r="H167" s="21">
        <v>203.10239999999999</v>
      </c>
      <c r="I167" s="114">
        <v>40.616599999999998</v>
      </c>
      <c r="J167" s="114">
        <v>39.848599999999998</v>
      </c>
      <c r="K167" s="21">
        <v>37.421300000000002</v>
      </c>
      <c r="L167" s="21">
        <v>1550.29</v>
      </c>
      <c r="M167" s="21">
        <v>0.8</v>
      </c>
    </row>
    <row r="168" spans="1:13" x14ac:dyDescent="0.15">
      <c r="A168" s="21" t="s">
        <v>666</v>
      </c>
      <c r="B168" s="112">
        <v>113.71980000000001</v>
      </c>
      <c r="C168" s="114">
        <v>38.9238</v>
      </c>
      <c r="D168" s="114">
        <v>37.978400000000001</v>
      </c>
      <c r="E168" s="112">
        <v>34.459600000000002</v>
      </c>
      <c r="F168" s="112">
        <v>995.75</v>
      </c>
      <c r="G168" s="112">
        <v>0.63</v>
      </c>
      <c r="H168" s="21">
        <v>113.71980000000001</v>
      </c>
      <c r="I168" s="114">
        <v>38.9238</v>
      </c>
      <c r="J168" s="114">
        <v>37.978400000000001</v>
      </c>
      <c r="K168" s="21">
        <v>34.459600000000002</v>
      </c>
      <c r="L168" s="21">
        <v>995.75</v>
      </c>
      <c r="M168" s="21">
        <v>0.63</v>
      </c>
    </row>
    <row r="169" spans="1:13" x14ac:dyDescent="0.15">
      <c r="A169" s="21" t="s">
        <v>667</v>
      </c>
      <c r="B169" s="112">
        <v>1540.4208000000001</v>
      </c>
      <c r="C169" s="114">
        <v>43.527900000000002</v>
      </c>
      <c r="D169" s="114">
        <v>44.645400000000002</v>
      </c>
      <c r="E169" s="112">
        <v>42.5137</v>
      </c>
      <c r="F169" s="112">
        <v>3526.84</v>
      </c>
      <c r="G169" s="112">
        <v>2.11</v>
      </c>
      <c r="H169" s="21">
        <v>1540.4208000000001</v>
      </c>
      <c r="I169" s="114">
        <v>43.527900000000002</v>
      </c>
      <c r="J169" s="114">
        <v>44.645400000000002</v>
      </c>
      <c r="K169" s="21">
        <v>42.5137</v>
      </c>
      <c r="L169" s="21">
        <v>3526.84</v>
      </c>
      <c r="M169" s="21">
        <v>2.11</v>
      </c>
    </row>
    <row r="170" spans="1:13" x14ac:dyDescent="0.15">
      <c r="A170" s="21" t="s">
        <v>668</v>
      </c>
      <c r="B170" s="112">
        <v>977.62</v>
      </c>
      <c r="C170" s="114">
        <v>40.859299999999998</v>
      </c>
      <c r="D170" s="114">
        <v>42.113300000000002</v>
      </c>
      <c r="E170" s="112">
        <v>38.401699999999998</v>
      </c>
      <c r="F170" s="112">
        <v>2964.46</v>
      </c>
      <c r="G170" s="112">
        <v>1.61</v>
      </c>
      <c r="H170" s="21">
        <v>977.62</v>
      </c>
      <c r="I170" s="114">
        <v>40.859299999999998</v>
      </c>
      <c r="J170" s="114">
        <v>42.113300000000002</v>
      </c>
      <c r="K170" s="21">
        <v>38.401699999999998</v>
      </c>
      <c r="L170" s="21">
        <v>2964.46</v>
      </c>
      <c r="M170" s="21">
        <v>1.61</v>
      </c>
    </row>
    <row r="171" spans="1:13" x14ac:dyDescent="0.15">
      <c r="A171" s="21" t="s">
        <v>669</v>
      </c>
      <c r="B171" s="112">
        <v>595.60559999999998</v>
      </c>
      <c r="C171" s="114">
        <v>39.3247</v>
      </c>
      <c r="D171" s="114">
        <v>40.463099999999997</v>
      </c>
      <c r="E171" s="112">
        <v>34.848500000000001</v>
      </c>
      <c r="F171" s="112">
        <v>2409.9499999999998</v>
      </c>
      <c r="G171" s="112">
        <v>1.26</v>
      </c>
      <c r="H171" s="21">
        <v>595.60559999999998</v>
      </c>
      <c r="I171" s="114">
        <v>39.3247</v>
      </c>
      <c r="J171" s="114">
        <v>40.463099999999997</v>
      </c>
      <c r="K171" s="21">
        <v>34.848500000000001</v>
      </c>
      <c r="L171" s="21">
        <v>2409.9499999999998</v>
      </c>
      <c r="M171" s="21">
        <v>1.26</v>
      </c>
    </row>
    <row r="172" spans="1:13" x14ac:dyDescent="0.15">
      <c r="A172" s="21" t="s">
        <v>670</v>
      </c>
      <c r="B172" s="112">
        <v>349.49919999999997</v>
      </c>
      <c r="C172" s="114">
        <v>38.407499999999999</v>
      </c>
      <c r="D172" s="114">
        <v>39.311100000000003</v>
      </c>
      <c r="E172" s="112">
        <v>31.511800000000001</v>
      </c>
      <c r="F172" s="112">
        <v>1837.04</v>
      </c>
      <c r="G172" s="112">
        <v>1.01</v>
      </c>
      <c r="H172" s="21">
        <v>349.49919999999997</v>
      </c>
      <c r="I172" s="114">
        <v>38.407499999999999</v>
      </c>
      <c r="J172" s="114">
        <v>39.311100000000003</v>
      </c>
      <c r="K172" s="21">
        <v>31.511800000000001</v>
      </c>
      <c r="L172" s="21">
        <v>1837.04</v>
      </c>
      <c r="M172" s="21">
        <v>1.01</v>
      </c>
    </row>
    <row r="173" spans="1:13" x14ac:dyDescent="0.15">
      <c r="A173" s="21" t="s">
        <v>671</v>
      </c>
      <c r="B173" s="112">
        <v>1345.1635000000001</v>
      </c>
      <c r="C173" s="114">
        <v>42.286000000000001</v>
      </c>
      <c r="D173" s="114">
        <v>43.152099999999997</v>
      </c>
      <c r="E173" s="112">
        <v>41.991300000000003</v>
      </c>
      <c r="F173" s="112">
        <v>3391.57</v>
      </c>
      <c r="G173" s="112">
        <v>2.0299999999999998</v>
      </c>
      <c r="H173" s="21">
        <v>1345.1635000000001</v>
      </c>
      <c r="I173" s="114">
        <v>42.286000000000001</v>
      </c>
      <c r="J173" s="114">
        <v>43.152099999999997</v>
      </c>
      <c r="K173" s="21">
        <v>41.991300000000003</v>
      </c>
      <c r="L173" s="21">
        <v>3391.57</v>
      </c>
      <c r="M173" s="21">
        <v>2.0299999999999998</v>
      </c>
    </row>
    <row r="174" spans="1:13" x14ac:dyDescent="0.15">
      <c r="A174" s="21" t="s">
        <v>672</v>
      </c>
      <c r="B174" s="112">
        <v>837.8587</v>
      </c>
      <c r="C174" s="114">
        <v>39.348199999999999</v>
      </c>
      <c r="D174" s="114">
        <v>39.970799999999997</v>
      </c>
      <c r="E174" s="112">
        <v>38.036299999999997</v>
      </c>
      <c r="F174" s="112">
        <v>2960.03</v>
      </c>
      <c r="G174" s="112">
        <v>1.61</v>
      </c>
      <c r="H174" s="21">
        <v>837.8587</v>
      </c>
      <c r="I174" s="114">
        <v>39.348199999999999</v>
      </c>
      <c r="J174" s="114">
        <v>39.970799999999997</v>
      </c>
      <c r="K174" s="21">
        <v>38.036299999999997</v>
      </c>
      <c r="L174" s="21">
        <v>2960.03</v>
      </c>
      <c r="M174" s="21">
        <v>1.61</v>
      </c>
    </row>
    <row r="175" spans="1:13" x14ac:dyDescent="0.15">
      <c r="A175" s="21" t="s">
        <v>673</v>
      </c>
      <c r="B175" s="112">
        <v>480.9008</v>
      </c>
      <c r="C175" s="114">
        <v>37.291600000000003</v>
      </c>
      <c r="D175" s="114">
        <v>37.743299999999998</v>
      </c>
      <c r="E175" s="112">
        <v>34.427399999999999</v>
      </c>
      <c r="F175" s="112">
        <v>2546.31</v>
      </c>
      <c r="G175" s="112">
        <v>1.27</v>
      </c>
      <c r="H175" s="21">
        <v>480.9008</v>
      </c>
      <c r="I175" s="114">
        <v>37.291600000000003</v>
      </c>
      <c r="J175" s="114">
        <v>37.743299999999998</v>
      </c>
      <c r="K175" s="21">
        <v>34.427399999999999</v>
      </c>
      <c r="L175" s="21">
        <v>2546.31</v>
      </c>
      <c r="M175" s="21">
        <v>1.27</v>
      </c>
    </row>
    <row r="176" spans="1:13" x14ac:dyDescent="0.15">
      <c r="A176" s="21" t="s">
        <v>674</v>
      </c>
      <c r="B176" s="112">
        <v>247.0206</v>
      </c>
      <c r="C176" s="114">
        <v>35.764400000000002</v>
      </c>
      <c r="D176" s="114">
        <v>36.219299999999997</v>
      </c>
      <c r="E176" s="112">
        <v>31.0808</v>
      </c>
      <c r="F176" s="112">
        <v>1961.3</v>
      </c>
      <c r="G176" s="112">
        <v>0.94</v>
      </c>
      <c r="H176" s="21">
        <v>247.0206</v>
      </c>
      <c r="I176" s="114">
        <v>35.764400000000002</v>
      </c>
      <c r="J176" s="114">
        <v>36.219299999999997</v>
      </c>
      <c r="K176" s="21">
        <v>31.0808</v>
      </c>
      <c r="L176" s="21">
        <v>1961.3</v>
      </c>
      <c r="M176" s="21">
        <v>0.94</v>
      </c>
    </row>
    <row r="177" spans="1:13" x14ac:dyDescent="0.15">
      <c r="A177" s="21" t="s">
        <v>675</v>
      </c>
      <c r="B177" s="112">
        <v>519.66</v>
      </c>
      <c r="C177" s="114">
        <v>43.1798</v>
      </c>
      <c r="D177" s="114">
        <v>44.084800000000001</v>
      </c>
      <c r="E177" s="112">
        <v>43.397300000000001</v>
      </c>
      <c r="F177" s="112">
        <v>1705.58</v>
      </c>
      <c r="G177" s="112">
        <v>0.89</v>
      </c>
      <c r="H177" s="21">
        <v>519.66</v>
      </c>
      <c r="I177" s="114">
        <v>43.1798</v>
      </c>
      <c r="J177" s="114">
        <v>44.084800000000001</v>
      </c>
      <c r="K177" s="21">
        <v>43.397300000000001</v>
      </c>
      <c r="L177" s="21">
        <v>1705.58</v>
      </c>
      <c r="M177" s="21">
        <v>0.89</v>
      </c>
    </row>
    <row r="178" spans="1:13" x14ac:dyDescent="0.15">
      <c r="A178" s="21" t="s">
        <v>676</v>
      </c>
      <c r="B178" s="112">
        <v>327.04259999999999</v>
      </c>
      <c r="C178" s="114">
        <v>39.932000000000002</v>
      </c>
      <c r="D178" s="114">
        <v>41.304600000000001</v>
      </c>
      <c r="E178" s="112">
        <v>39.840600000000002</v>
      </c>
      <c r="F178" s="112">
        <v>1418.96</v>
      </c>
      <c r="G178" s="112">
        <v>0.73</v>
      </c>
      <c r="H178" s="21">
        <v>327.04259999999999</v>
      </c>
      <c r="I178" s="114">
        <v>39.932000000000002</v>
      </c>
      <c r="J178" s="114">
        <v>41.304600000000001</v>
      </c>
      <c r="K178" s="21">
        <v>39.840600000000002</v>
      </c>
      <c r="L178" s="21">
        <v>1418.96</v>
      </c>
      <c r="M178" s="21">
        <v>0.73</v>
      </c>
    </row>
    <row r="179" spans="1:13" x14ac:dyDescent="0.15">
      <c r="A179" s="21" t="s">
        <v>677</v>
      </c>
      <c r="B179" s="112">
        <v>183.86529999999999</v>
      </c>
      <c r="C179" s="114">
        <v>37.8902</v>
      </c>
      <c r="D179" s="114">
        <v>39.220399999999998</v>
      </c>
      <c r="E179" s="112">
        <v>36.332299999999996</v>
      </c>
      <c r="F179" s="112">
        <v>1196.27</v>
      </c>
      <c r="G179" s="112">
        <v>0.6</v>
      </c>
      <c r="H179" s="21">
        <v>183.86529999999999</v>
      </c>
      <c r="I179" s="114">
        <v>37.8902</v>
      </c>
      <c r="J179" s="114">
        <v>39.220399999999998</v>
      </c>
      <c r="K179" s="21">
        <v>36.332299999999996</v>
      </c>
      <c r="L179" s="21">
        <v>1196.27</v>
      </c>
      <c r="M179" s="21">
        <v>0.6</v>
      </c>
    </row>
    <row r="180" spans="1:13" x14ac:dyDescent="0.15">
      <c r="A180" s="21" t="s">
        <v>678</v>
      </c>
      <c r="B180" s="112">
        <v>92.392099999999999</v>
      </c>
      <c r="C180" s="114">
        <v>36.434199999999997</v>
      </c>
      <c r="D180" s="114">
        <v>37.554200000000002</v>
      </c>
      <c r="E180" s="112">
        <v>33.104599999999998</v>
      </c>
      <c r="F180" s="112">
        <v>845.03</v>
      </c>
      <c r="G180" s="112">
        <v>0.46</v>
      </c>
      <c r="H180" s="21">
        <v>92.392099999999999</v>
      </c>
      <c r="I180" s="114">
        <v>36.434199999999997</v>
      </c>
      <c r="J180" s="114">
        <v>37.554200000000002</v>
      </c>
      <c r="K180" s="21">
        <v>33.104599999999998</v>
      </c>
      <c r="L180" s="21">
        <v>845.03</v>
      </c>
      <c r="M180" s="21">
        <v>0.46</v>
      </c>
    </row>
    <row r="181" spans="1:13" x14ac:dyDescent="0.15">
      <c r="A181" s="21" t="s">
        <v>679</v>
      </c>
      <c r="B181" s="112">
        <v>3381.6455999999998</v>
      </c>
      <c r="C181" s="112">
        <v>47.341000000000001</v>
      </c>
      <c r="D181" s="112">
        <v>48.5608</v>
      </c>
      <c r="E181" s="112">
        <v>45.352600000000002</v>
      </c>
      <c r="F181" s="112">
        <v>19434.78</v>
      </c>
      <c r="G181" s="112">
        <v>8.42</v>
      </c>
      <c r="H181" s="21">
        <v>3381.6455999999998</v>
      </c>
      <c r="I181" s="21">
        <v>47.341000000000001</v>
      </c>
      <c r="J181" s="21">
        <v>48.5608</v>
      </c>
      <c r="K181" s="21">
        <v>45.352600000000002</v>
      </c>
      <c r="L181" s="21">
        <v>19434.78</v>
      </c>
      <c r="M181" s="21">
        <v>8.42</v>
      </c>
    </row>
    <row r="182" spans="1:13" x14ac:dyDescent="0.15">
      <c r="A182" s="21" t="s">
        <v>680</v>
      </c>
      <c r="B182" s="112">
        <v>2078.2584000000002</v>
      </c>
      <c r="C182" s="112">
        <v>45.180700000000002</v>
      </c>
      <c r="D182" s="112">
        <v>46.507399999999997</v>
      </c>
      <c r="E182" s="112">
        <v>43.0002</v>
      </c>
      <c r="F182" s="112">
        <v>13294.14</v>
      </c>
      <c r="G182" s="112">
        <v>7</v>
      </c>
      <c r="H182" s="21">
        <v>2078.2584000000002</v>
      </c>
      <c r="I182" s="21">
        <v>45.180700000000002</v>
      </c>
      <c r="J182" s="21">
        <v>46.507399999999997</v>
      </c>
      <c r="K182" s="21">
        <v>43.0002</v>
      </c>
      <c r="L182" s="21">
        <v>13294.14</v>
      </c>
      <c r="M182" s="21">
        <v>7</v>
      </c>
    </row>
    <row r="183" spans="1:13" x14ac:dyDescent="0.15">
      <c r="A183" s="21" t="s">
        <v>681</v>
      </c>
      <c r="B183" s="112">
        <v>1285.6104</v>
      </c>
      <c r="C183" s="112">
        <v>43.4711</v>
      </c>
      <c r="D183" s="112">
        <v>44.721699999999998</v>
      </c>
      <c r="E183" s="112">
        <v>40.409999999999997</v>
      </c>
      <c r="F183" s="112">
        <v>9698.7800000000007</v>
      </c>
      <c r="G183" s="112">
        <v>5.94</v>
      </c>
      <c r="H183" s="21">
        <v>1285.6104</v>
      </c>
      <c r="I183" s="21">
        <v>43.4711</v>
      </c>
      <c r="J183" s="21">
        <v>44.721699999999998</v>
      </c>
      <c r="K183" s="21">
        <v>40.409999999999997</v>
      </c>
      <c r="L183" s="21">
        <v>9698.7800000000007</v>
      </c>
      <c r="M183" s="21">
        <v>5.94</v>
      </c>
    </row>
    <row r="184" spans="1:13" x14ac:dyDescent="0.15">
      <c r="A184" s="21" t="s">
        <v>682</v>
      </c>
      <c r="B184" s="112">
        <v>782.19200000000001</v>
      </c>
      <c r="C184" s="112">
        <v>42.171199999999999</v>
      </c>
      <c r="D184" s="112">
        <v>43.374299999999998</v>
      </c>
      <c r="E184" s="112">
        <v>37.531700000000001</v>
      </c>
      <c r="F184" s="112">
        <v>6337.44</v>
      </c>
      <c r="G184" s="112">
        <v>4.99</v>
      </c>
      <c r="H184" s="21">
        <v>782.19200000000001</v>
      </c>
      <c r="I184" s="21">
        <v>42.171199999999999</v>
      </c>
      <c r="J184" s="21">
        <v>43.374299999999998</v>
      </c>
      <c r="K184" s="21">
        <v>37.531700000000001</v>
      </c>
      <c r="L184" s="21">
        <v>6337.44</v>
      </c>
      <c r="M184" s="21">
        <v>4.99</v>
      </c>
    </row>
    <row r="185" spans="1:13" x14ac:dyDescent="0.15">
      <c r="A185" s="21" t="s">
        <v>683</v>
      </c>
      <c r="B185" s="112">
        <v>2281.9016000000001</v>
      </c>
      <c r="C185" s="112">
        <v>48.613900000000001</v>
      </c>
      <c r="D185" s="112">
        <v>49.331699999999998</v>
      </c>
      <c r="E185" s="112">
        <v>45.653300000000002</v>
      </c>
      <c r="F185" s="112">
        <v>15098.19</v>
      </c>
      <c r="G185" s="112">
        <v>6.58</v>
      </c>
      <c r="H185" s="21">
        <v>2281.9016000000001</v>
      </c>
      <c r="I185" s="21">
        <v>48.613900000000001</v>
      </c>
      <c r="J185" s="21">
        <v>49.331699999999998</v>
      </c>
      <c r="K185" s="21">
        <v>45.653300000000002</v>
      </c>
      <c r="L185" s="21">
        <v>15098.19</v>
      </c>
      <c r="M185" s="21">
        <v>6.58</v>
      </c>
    </row>
    <row r="186" spans="1:13" x14ac:dyDescent="0.15">
      <c r="A186" s="21" t="s">
        <v>684</v>
      </c>
      <c r="B186" s="112">
        <v>1313.3119999999999</v>
      </c>
      <c r="C186" s="112">
        <v>46.746299999999998</v>
      </c>
      <c r="D186" s="112">
        <v>47.563299999999998</v>
      </c>
      <c r="E186" s="112">
        <v>43.745600000000003</v>
      </c>
      <c r="F186" s="112">
        <v>10086.14</v>
      </c>
      <c r="G186" s="112">
        <v>5.93</v>
      </c>
      <c r="H186" s="21">
        <v>1313.3119999999999</v>
      </c>
      <c r="I186" s="21">
        <v>46.746299999999998</v>
      </c>
      <c r="J186" s="21">
        <v>47.563299999999998</v>
      </c>
      <c r="K186" s="21">
        <v>43.745600000000003</v>
      </c>
      <c r="L186" s="21">
        <v>10086.14</v>
      </c>
      <c r="M186" s="21">
        <v>5.93</v>
      </c>
    </row>
    <row r="187" spans="1:13" x14ac:dyDescent="0.15">
      <c r="A187" s="21" t="s">
        <v>685</v>
      </c>
      <c r="B187" s="112">
        <v>738.90959999999995</v>
      </c>
      <c r="C187" s="112">
        <v>45.091299999999997</v>
      </c>
      <c r="D187" s="112">
        <v>45.862699999999997</v>
      </c>
      <c r="E187" s="112">
        <v>41.574800000000003</v>
      </c>
      <c r="F187" s="112">
        <v>6951.62</v>
      </c>
      <c r="G187" s="112">
        <v>5.14</v>
      </c>
      <c r="H187" s="21">
        <v>738.90959999999995</v>
      </c>
      <c r="I187" s="21">
        <v>45.091299999999997</v>
      </c>
      <c r="J187" s="21">
        <v>45.862699999999997</v>
      </c>
      <c r="K187" s="21">
        <v>41.574800000000003</v>
      </c>
      <c r="L187" s="21">
        <v>6951.62</v>
      </c>
      <c r="M187" s="21">
        <v>5.14</v>
      </c>
    </row>
    <row r="188" spans="1:13" x14ac:dyDescent="0.15">
      <c r="A188" s="21" t="s">
        <v>686</v>
      </c>
      <c r="B188" s="112">
        <v>426.40320000000003</v>
      </c>
      <c r="C188" s="112">
        <v>43.692300000000003</v>
      </c>
      <c r="D188" s="112">
        <v>44.4754</v>
      </c>
      <c r="E188" s="112">
        <v>39.236800000000002</v>
      </c>
      <c r="F188" s="112">
        <v>4101.5</v>
      </c>
      <c r="G188" s="112">
        <v>4.5999999999999996</v>
      </c>
      <c r="H188" s="21">
        <v>426.40320000000003</v>
      </c>
      <c r="I188" s="21">
        <v>43.692300000000003</v>
      </c>
      <c r="J188" s="21">
        <v>44.4754</v>
      </c>
      <c r="K188" s="21">
        <v>39.236800000000002</v>
      </c>
      <c r="L188" s="21">
        <v>4101.5</v>
      </c>
      <c r="M188" s="21">
        <v>4.5999999999999996</v>
      </c>
    </row>
    <row r="189" spans="1:13" x14ac:dyDescent="0.15">
      <c r="A189" s="21" t="s">
        <v>687</v>
      </c>
      <c r="B189" s="112">
        <v>2480.0479999999998</v>
      </c>
      <c r="C189" s="112">
        <v>47.9953</v>
      </c>
      <c r="D189" s="112">
        <v>48.925699999999999</v>
      </c>
      <c r="E189" s="112">
        <v>45.887300000000003</v>
      </c>
      <c r="F189" s="112">
        <v>14639.74</v>
      </c>
      <c r="G189" s="112">
        <v>7.12</v>
      </c>
      <c r="H189" s="21">
        <v>2480.0479999999998</v>
      </c>
      <c r="I189" s="21">
        <v>47.9953</v>
      </c>
      <c r="J189" s="21">
        <v>48.925699999999999</v>
      </c>
      <c r="K189" s="21">
        <v>45.887300000000003</v>
      </c>
      <c r="L189" s="21">
        <v>14639.74</v>
      </c>
      <c r="M189" s="21">
        <v>7.12</v>
      </c>
    </row>
    <row r="190" spans="1:13" x14ac:dyDescent="0.15">
      <c r="A190" s="21" t="s">
        <v>688</v>
      </c>
      <c r="B190" s="112">
        <v>1523.6407999999999</v>
      </c>
      <c r="C190" s="112">
        <v>45.918599999999998</v>
      </c>
      <c r="D190" s="112">
        <v>47.025300000000001</v>
      </c>
      <c r="E190" s="112">
        <v>43.864199999999997</v>
      </c>
      <c r="F190" s="112">
        <v>10175.14</v>
      </c>
      <c r="G190" s="112">
        <v>6.25</v>
      </c>
      <c r="H190" s="21">
        <v>1523.6407999999999</v>
      </c>
      <c r="I190" s="21">
        <v>45.918599999999998</v>
      </c>
      <c r="J190" s="21">
        <v>47.025300000000001</v>
      </c>
      <c r="K190" s="21">
        <v>43.864199999999997</v>
      </c>
      <c r="L190" s="21">
        <v>10175.14</v>
      </c>
      <c r="M190" s="21">
        <v>6.25</v>
      </c>
    </row>
    <row r="191" spans="1:13" x14ac:dyDescent="0.15">
      <c r="A191" s="21" t="s">
        <v>689</v>
      </c>
      <c r="B191" s="112">
        <v>922.35199999999998</v>
      </c>
      <c r="C191" s="112">
        <v>44.223599999999998</v>
      </c>
      <c r="D191" s="112">
        <v>45.353400000000001</v>
      </c>
      <c r="E191" s="112">
        <v>41.512500000000003</v>
      </c>
      <c r="F191" s="112">
        <v>7082.33</v>
      </c>
      <c r="G191" s="112">
        <v>5.17</v>
      </c>
      <c r="H191" s="21">
        <v>922.35199999999998</v>
      </c>
      <c r="I191" s="21">
        <v>44.223599999999998</v>
      </c>
      <c r="J191" s="21">
        <v>45.353400000000001</v>
      </c>
      <c r="K191" s="21">
        <v>41.512500000000003</v>
      </c>
      <c r="L191" s="21">
        <v>7082.33</v>
      </c>
      <c r="M191" s="21">
        <v>5.17</v>
      </c>
    </row>
    <row r="192" spans="1:13" x14ac:dyDescent="0.15">
      <c r="A192" s="21" t="s">
        <v>690</v>
      </c>
      <c r="B192" s="112">
        <v>558.67520000000002</v>
      </c>
      <c r="C192" s="112">
        <v>42.905799999999999</v>
      </c>
      <c r="D192" s="112">
        <v>43.994</v>
      </c>
      <c r="E192" s="112">
        <v>38.927599999999998</v>
      </c>
      <c r="F192" s="112">
        <v>4615.97</v>
      </c>
      <c r="G192" s="112">
        <v>4.84</v>
      </c>
      <c r="H192" s="21">
        <v>558.67520000000002</v>
      </c>
      <c r="I192" s="21">
        <v>42.905799999999999</v>
      </c>
      <c r="J192" s="21">
        <v>43.994</v>
      </c>
      <c r="K192" s="21">
        <v>38.927599999999998</v>
      </c>
      <c r="L192" s="21">
        <v>4615.97</v>
      </c>
      <c r="M192" s="21">
        <v>4.84</v>
      </c>
    </row>
    <row r="193" spans="1:13" x14ac:dyDescent="0.15">
      <c r="A193" s="21" t="s">
        <v>691</v>
      </c>
      <c r="B193" s="112">
        <v>2404.2602999999999</v>
      </c>
      <c r="C193" s="112">
        <v>43.996699999999997</v>
      </c>
      <c r="D193" s="112">
        <v>44.735599999999998</v>
      </c>
      <c r="E193" s="112">
        <v>43.213200000000001</v>
      </c>
      <c r="F193" s="112">
        <v>14681.08</v>
      </c>
      <c r="G193" s="112">
        <v>5.42</v>
      </c>
      <c r="H193" s="21">
        <v>2404.2602999999999</v>
      </c>
      <c r="I193" s="21">
        <v>43.996699999999997</v>
      </c>
      <c r="J193" s="21">
        <v>44.735599999999998</v>
      </c>
      <c r="K193" s="21">
        <v>43.213200000000001</v>
      </c>
      <c r="L193" s="21">
        <v>14681.08</v>
      </c>
      <c r="M193" s="21">
        <v>5.42</v>
      </c>
    </row>
    <row r="194" spans="1:13" x14ac:dyDescent="0.15">
      <c r="A194" s="21" t="s">
        <v>692</v>
      </c>
      <c r="B194" s="112">
        <v>1367.1238000000001</v>
      </c>
      <c r="C194" s="112">
        <v>41.233400000000003</v>
      </c>
      <c r="D194" s="112">
        <v>41.778399999999998</v>
      </c>
      <c r="E194" s="112">
        <v>39.9816</v>
      </c>
      <c r="F194" s="112">
        <v>12273.43</v>
      </c>
      <c r="G194" s="112">
        <v>3.93</v>
      </c>
      <c r="H194" s="21">
        <v>1367.1238000000001</v>
      </c>
      <c r="I194" s="21">
        <v>41.233400000000003</v>
      </c>
      <c r="J194" s="21">
        <v>41.778399999999998</v>
      </c>
      <c r="K194" s="21">
        <v>39.9816</v>
      </c>
      <c r="L194" s="21">
        <v>12273.43</v>
      </c>
      <c r="M194" s="21">
        <v>3.93</v>
      </c>
    </row>
    <row r="195" spans="1:13" x14ac:dyDescent="0.15">
      <c r="A195" s="21" t="s">
        <v>693</v>
      </c>
      <c r="B195" s="112">
        <v>779.45709999999997</v>
      </c>
      <c r="C195" s="112">
        <v>39.216299999999997</v>
      </c>
      <c r="D195" s="112">
        <v>39.630899999999997</v>
      </c>
      <c r="E195" s="112">
        <v>37.113700000000001</v>
      </c>
      <c r="F195" s="112">
        <v>9505.93</v>
      </c>
      <c r="G195" s="112">
        <v>3.07</v>
      </c>
      <c r="H195" s="21">
        <v>779.45709999999997</v>
      </c>
      <c r="I195" s="21">
        <v>39.216299999999997</v>
      </c>
      <c r="J195" s="21">
        <v>39.630899999999997</v>
      </c>
      <c r="K195" s="21">
        <v>37.113700000000001</v>
      </c>
      <c r="L195" s="21">
        <v>9505.93</v>
      </c>
      <c r="M195" s="21">
        <v>3.07</v>
      </c>
    </row>
    <row r="196" spans="1:13" x14ac:dyDescent="0.15">
      <c r="A196" s="21" t="s">
        <v>694</v>
      </c>
      <c r="B196" s="112">
        <v>455.07940000000002</v>
      </c>
      <c r="C196" s="112">
        <v>37.692300000000003</v>
      </c>
      <c r="D196" s="112">
        <v>37.883899999999997</v>
      </c>
      <c r="E196" s="112">
        <v>34.470700000000001</v>
      </c>
      <c r="F196" s="112">
        <v>5644.79</v>
      </c>
      <c r="G196" s="112">
        <v>2.34</v>
      </c>
      <c r="H196" s="21">
        <v>455.07940000000002</v>
      </c>
      <c r="I196" s="21">
        <v>37.692300000000003</v>
      </c>
      <c r="J196" s="21">
        <v>37.883899999999997</v>
      </c>
      <c r="K196" s="21">
        <v>34.470700000000001</v>
      </c>
      <c r="L196" s="21">
        <v>5644.79</v>
      </c>
      <c r="M196" s="21">
        <v>2.34</v>
      </c>
    </row>
    <row r="197" spans="1:13" x14ac:dyDescent="0.15">
      <c r="A197" s="21" t="s">
        <v>695</v>
      </c>
      <c r="B197" s="112">
        <v>11588.5584</v>
      </c>
      <c r="C197" s="112">
        <v>45.262999999999998</v>
      </c>
      <c r="D197" s="112">
        <v>45.892099999999999</v>
      </c>
      <c r="E197" s="112">
        <v>44.795699999999997</v>
      </c>
      <c r="F197" s="112">
        <v>83193.710000000006</v>
      </c>
      <c r="G197" s="112">
        <v>34.21</v>
      </c>
      <c r="H197" s="21">
        <v>11588.5584</v>
      </c>
      <c r="I197" s="21">
        <v>45.262999999999998</v>
      </c>
      <c r="J197" s="21">
        <v>45.892099999999999</v>
      </c>
      <c r="K197" s="21">
        <v>44.795699999999997</v>
      </c>
      <c r="L197" s="21">
        <v>83193.710000000006</v>
      </c>
      <c r="M197" s="21">
        <v>34.21</v>
      </c>
    </row>
    <row r="198" spans="1:13" x14ac:dyDescent="0.15">
      <c r="A198" s="21" t="s">
        <v>696</v>
      </c>
      <c r="B198" s="112">
        <v>7184.4823999999999</v>
      </c>
      <c r="C198" s="112">
        <v>42.4529</v>
      </c>
      <c r="D198" s="112">
        <v>42.872399999999999</v>
      </c>
      <c r="E198" s="112">
        <v>41.772799999999997</v>
      </c>
      <c r="F198" s="112">
        <v>64179.73</v>
      </c>
      <c r="G198" s="112">
        <v>25.25</v>
      </c>
      <c r="H198" s="21">
        <v>7184.4823999999999</v>
      </c>
      <c r="I198" s="21">
        <v>42.4529</v>
      </c>
      <c r="J198" s="21">
        <v>42.872399999999999</v>
      </c>
      <c r="K198" s="21">
        <v>41.772799999999997</v>
      </c>
      <c r="L198" s="21">
        <v>64179.73</v>
      </c>
      <c r="M198" s="21">
        <v>25.25</v>
      </c>
    </row>
    <row r="199" spans="1:13" x14ac:dyDescent="0.15">
      <c r="A199" s="21" t="s">
        <v>697</v>
      </c>
      <c r="B199" s="112">
        <v>4117.8335999999999</v>
      </c>
      <c r="C199" s="112">
        <v>40.331099999999999</v>
      </c>
      <c r="D199" s="112">
        <v>40.536499999999997</v>
      </c>
      <c r="E199" s="112">
        <v>38.751800000000003</v>
      </c>
      <c r="F199" s="112">
        <v>48733.7</v>
      </c>
      <c r="G199" s="112">
        <v>20.04</v>
      </c>
      <c r="H199" s="21">
        <v>4117.8335999999999</v>
      </c>
      <c r="I199" s="21">
        <v>40.331099999999999</v>
      </c>
      <c r="J199" s="21">
        <v>40.536499999999997</v>
      </c>
      <c r="K199" s="21">
        <v>38.751800000000003</v>
      </c>
      <c r="L199" s="21">
        <v>48733.7</v>
      </c>
      <c r="M199" s="21">
        <v>20.04</v>
      </c>
    </row>
    <row r="200" spans="1:13" x14ac:dyDescent="0.15">
      <c r="A200" s="21" t="s">
        <v>698</v>
      </c>
      <c r="B200" s="112">
        <v>2336.1</v>
      </c>
      <c r="C200" s="112">
        <v>38.656300000000002</v>
      </c>
      <c r="D200" s="112">
        <v>38.752299999999998</v>
      </c>
      <c r="E200" s="112">
        <v>35.932099999999998</v>
      </c>
      <c r="F200" s="112">
        <v>28980.84</v>
      </c>
      <c r="G200" s="112">
        <v>15.07</v>
      </c>
      <c r="H200" s="21">
        <v>2336.1</v>
      </c>
      <c r="I200" s="21">
        <v>38.656300000000002</v>
      </c>
      <c r="J200" s="21">
        <v>38.752299999999998</v>
      </c>
      <c r="K200" s="21">
        <v>35.932099999999998</v>
      </c>
      <c r="L200" s="21">
        <v>28980.84</v>
      </c>
      <c r="M200" s="21">
        <v>15.07</v>
      </c>
    </row>
    <row r="201" spans="1:13" x14ac:dyDescent="0.15">
      <c r="A201" s="21" t="s">
        <v>699</v>
      </c>
      <c r="B201" s="112">
        <v>2246.3708000000001</v>
      </c>
      <c r="C201" s="112">
        <v>45.3979</v>
      </c>
      <c r="D201" s="112">
        <v>45.9208</v>
      </c>
      <c r="E201" s="112">
        <v>46.8307</v>
      </c>
      <c r="F201" s="112">
        <v>12290.28</v>
      </c>
      <c r="G201" s="112">
        <v>6.67</v>
      </c>
      <c r="H201" s="21">
        <v>2246.3708000000001</v>
      </c>
      <c r="I201" s="21">
        <v>45.3979</v>
      </c>
      <c r="J201" s="21">
        <v>45.9208</v>
      </c>
      <c r="K201" s="21">
        <v>46.8307</v>
      </c>
      <c r="L201" s="21">
        <v>12290.28</v>
      </c>
      <c r="M201" s="21">
        <v>6.67</v>
      </c>
    </row>
    <row r="202" spans="1:13" x14ac:dyDescent="0.15">
      <c r="A202" s="21" t="s">
        <v>700</v>
      </c>
      <c r="B202" s="112">
        <v>1662.7689</v>
      </c>
      <c r="C202" s="112">
        <v>41.283700000000003</v>
      </c>
      <c r="D202" s="112">
        <v>42.364899999999999</v>
      </c>
      <c r="E202" s="112">
        <v>42.993099999999998</v>
      </c>
      <c r="F202" s="112">
        <v>10659.35</v>
      </c>
      <c r="G202" s="112">
        <v>4.84</v>
      </c>
      <c r="H202" s="21">
        <v>1662.7689</v>
      </c>
      <c r="I202" s="21">
        <v>41.283700000000003</v>
      </c>
      <c r="J202" s="21">
        <v>42.364899999999999</v>
      </c>
      <c r="K202" s="21">
        <v>42.993099999999998</v>
      </c>
      <c r="L202" s="21">
        <v>10659.35</v>
      </c>
      <c r="M202" s="21">
        <v>4.84</v>
      </c>
    </row>
    <row r="203" spans="1:13" x14ac:dyDescent="0.15">
      <c r="A203" s="21" t="s">
        <v>701</v>
      </c>
      <c r="B203" s="112">
        <v>1278.9386999999999</v>
      </c>
      <c r="C203" s="112">
        <v>39.240499999999997</v>
      </c>
      <c r="D203" s="112">
        <v>40.545299999999997</v>
      </c>
      <c r="E203" s="112">
        <v>39.519199999999998</v>
      </c>
      <c r="F203" s="112">
        <v>10229.129999999999</v>
      </c>
      <c r="G203" s="112">
        <v>3.92</v>
      </c>
      <c r="H203" s="21">
        <v>1278.9386999999999</v>
      </c>
      <c r="I203" s="21">
        <v>39.240499999999997</v>
      </c>
      <c r="J203" s="21">
        <v>40.545299999999997</v>
      </c>
      <c r="K203" s="21">
        <v>39.519199999999998</v>
      </c>
      <c r="L203" s="21">
        <v>10229.129999999999</v>
      </c>
      <c r="M203" s="21">
        <v>3.92</v>
      </c>
    </row>
    <row r="204" spans="1:13" x14ac:dyDescent="0.15">
      <c r="A204" s="21" t="s">
        <v>702</v>
      </c>
      <c r="B204" s="112">
        <v>974.81449999999995</v>
      </c>
      <c r="C204" s="112">
        <v>38.368600000000001</v>
      </c>
      <c r="D204" s="112">
        <v>39.656399999999998</v>
      </c>
      <c r="E204" s="112">
        <v>35.5871</v>
      </c>
      <c r="F204" s="112">
        <v>9231.99</v>
      </c>
      <c r="G204" s="112">
        <v>3.58</v>
      </c>
      <c r="H204" s="21">
        <v>974.81449999999995</v>
      </c>
      <c r="I204" s="21">
        <v>38.368600000000001</v>
      </c>
      <c r="J204" s="21">
        <v>39.656399999999998</v>
      </c>
      <c r="K204" s="21">
        <v>35.5871</v>
      </c>
      <c r="L204" s="21">
        <v>9231.99</v>
      </c>
      <c r="M204" s="21">
        <v>3.58</v>
      </c>
    </row>
    <row r="205" spans="1:13" x14ac:dyDescent="0.15">
      <c r="A205" s="21" t="s">
        <v>703</v>
      </c>
      <c r="B205" s="112">
        <v>515.55870000000004</v>
      </c>
      <c r="C205" s="112">
        <v>54.150500000000001</v>
      </c>
      <c r="D205" s="112">
        <v>55.115099999999998</v>
      </c>
      <c r="E205" s="112">
        <v>51.0229</v>
      </c>
      <c r="F205" s="112">
        <v>9059.0400000000009</v>
      </c>
      <c r="G205" s="112">
        <v>4.3499999999999996</v>
      </c>
      <c r="H205" s="21">
        <v>515.55870000000004</v>
      </c>
      <c r="I205" s="21">
        <v>54.150500000000001</v>
      </c>
      <c r="J205" s="21">
        <v>55.115099999999998</v>
      </c>
      <c r="K205" s="21">
        <v>51.0229</v>
      </c>
      <c r="L205" s="21">
        <v>9059.0400000000009</v>
      </c>
      <c r="M205" s="21">
        <v>4.3499999999999996</v>
      </c>
    </row>
    <row r="206" spans="1:13" x14ac:dyDescent="0.15">
      <c r="A206" s="21" t="s">
        <v>704</v>
      </c>
      <c r="B206" s="112">
        <v>338.40030000000002</v>
      </c>
      <c r="C206" s="112">
        <v>50.840899999999998</v>
      </c>
      <c r="D206" s="112">
        <v>52.023000000000003</v>
      </c>
      <c r="E206" s="112">
        <v>47.451799999999999</v>
      </c>
      <c r="F206" s="112">
        <v>7089.21</v>
      </c>
      <c r="G206" s="112">
        <v>4.09</v>
      </c>
      <c r="H206" s="21">
        <v>338.40030000000002</v>
      </c>
      <c r="I206" s="21">
        <v>50.840899999999998</v>
      </c>
      <c r="J206" s="21">
        <v>52.023000000000003</v>
      </c>
      <c r="K206" s="21">
        <v>47.451799999999999</v>
      </c>
      <c r="L206" s="21">
        <v>7089.21</v>
      </c>
      <c r="M206" s="21">
        <v>4.09</v>
      </c>
    </row>
    <row r="207" spans="1:13" x14ac:dyDescent="0.15">
      <c r="A207" s="21" t="s">
        <v>705</v>
      </c>
      <c r="B207" s="112">
        <v>226.19210000000001</v>
      </c>
      <c r="C207" s="112">
        <v>48.4557</v>
      </c>
      <c r="D207" s="112">
        <v>50.125599999999999</v>
      </c>
      <c r="E207" s="112">
        <v>44.144300000000001</v>
      </c>
      <c r="F207" s="112">
        <v>5781.6</v>
      </c>
      <c r="G207" s="112">
        <v>3.59</v>
      </c>
      <c r="H207" s="21">
        <v>226.19210000000001</v>
      </c>
      <c r="I207" s="21">
        <v>48.4557</v>
      </c>
      <c r="J207" s="21">
        <v>50.125599999999999</v>
      </c>
      <c r="K207" s="21">
        <v>44.144300000000001</v>
      </c>
      <c r="L207" s="21">
        <v>5781.6</v>
      </c>
      <c r="M207" s="21">
        <v>3.59</v>
      </c>
    </row>
    <row r="208" spans="1:13" x14ac:dyDescent="0.15">
      <c r="A208" s="21" t="s">
        <v>706</v>
      </c>
      <c r="B208" s="112">
        <v>148.92509999999999</v>
      </c>
      <c r="C208" s="112">
        <v>46.631399999999999</v>
      </c>
      <c r="D208" s="112">
        <v>48.592599999999997</v>
      </c>
      <c r="E208" s="112">
        <v>40.701900000000002</v>
      </c>
      <c r="F208" s="112">
        <v>4636.3999999999996</v>
      </c>
      <c r="G208" s="112">
        <v>3.13</v>
      </c>
      <c r="H208" s="21">
        <v>148.92509999999999</v>
      </c>
      <c r="I208" s="21">
        <v>46.631399999999999</v>
      </c>
      <c r="J208" s="21">
        <v>48.592599999999997</v>
      </c>
      <c r="K208" s="21">
        <v>40.701900000000002</v>
      </c>
      <c r="L208" s="21">
        <v>4636.3999999999996</v>
      </c>
      <c r="M208" s="21">
        <v>3.13</v>
      </c>
    </row>
    <row r="209" spans="1:1" x14ac:dyDescent="0.15">
      <c r="A209" s="21" t="s">
        <v>707</v>
      </c>
    </row>
    <row r="210" spans="1:1" x14ac:dyDescent="0.15">
      <c r="A210" s="21" t="s">
        <v>708</v>
      </c>
    </row>
    <row r="211" spans="1:1" x14ac:dyDescent="0.15">
      <c r="A211" s="21" t="s">
        <v>709</v>
      </c>
    </row>
    <row r="212" spans="1:1" x14ac:dyDescent="0.15">
      <c r="A212" s="21" t="s">
        <v>710</v>
      </c>
    </row>
    <row r="213" spans="1:1" x14ac:dyDescent="0.15">
      <c r="A213" s="21" t="s">
        <v>711</v>
      </c>
    </row>
    <row r="214" spans="1:1" x14ac:dyDescent="0.15">
      <c r="A214" s="21" t="s">
        <v>712</v>
      </c>
    </row>
    <row r="215" spans="1:1" x14ac:dyDescent="0.15">
      <c r="A215" s="21" t="s">
        <v>713</v>
      </c>
    </row>
    <row r="216" spans="1:1" x14ac:dyDescent="0.15">
      <c r="A216" s="21" t="s">
        <v>714</v>
      </c>
    </row>
    <row r="217" spans="1:1" x14ac:dyDescent="0.15">
      <c r="A217" s="21" t="s">
        <v>715</v>
      </c>
    </row>
    <row r="218" spans="1:1" x14ac:dyDescent="0.15">
      <c r="A218" s="21" t="s">
        <v>716</v>
      </c>
    </row>
    <row r="219" spans="1:1" x14ac:dyDescent="0.15">
      <c r="A219" s="21" t="s">
        <v>717</v>
      </c>
    </row>
    <row r="220" spans="1:1" x14ac:dyDescent="0.15">
      <c r="A220" s="21" t="s">
        <v>718</v>
      </c>
    </row>
    <row r="221" spans="1:1" x14ac:dyDescent="0.15">
      <c r="A221" s="21" t="s">
        <v>719</v>
      </c>
    </row>
    <row r="222" spans="1:1" x14ac:dyDescent="0.15">
      <c r="A222" s="21" t="s">
        <v>720</v>
      </c>
    </row>
    <row r="223" spans="1:1" x14ac:dyDescent="0.15">
      <c r="A223" s="21" t="s">
        <v>721</v>
      </c>
    </row>
    <row r="224" spans="1:1" x14ac:dyDescent="0.15">
      <c r="A224" s="21" t="s">
        <v>722</v>
      </c>
    </row>
    <row r="225" spans="1:1" x14ac:dyDescent="0.15">
      <c r="A225" s="21" t="s">
        <v>723</v>
      </c>
    </row>
    <row r="226" spans="1:1" x14ac:dyDescent="0.15">
      <c r="A226" s="21" t="s">
        <v>724</v>
      </c>
    </row>
    <row r="227" spans="1:1" x14ac:dyDescent="0.15">
      <c r="A227" s="21" t="s">
        <v>725</v>
      </c>
    </row>
    <row r="228" spans="1:1" x14ac:dyDescent="0.15">
      <c r="A228" s="21" t="s">
        <v>726</v>
      </c>
    </row>
    <row r="229" spans="1:1" x14ac:dyDescent="0.15">
      <c r="A229" s="21" t="s">
        <v>727</v>
      </c>
    </row>
    <row r="230" spans="1:1" x14ac:dyDescent="0.15">
      <c r="A230" s="21" t="s">
        <v>728</v>
      </c>
    </row>
    <row r="231" spans="1:1" x14ac:dyDescent="0.15">
      <c r="A231" s="21" t="s">
        <v>729</v>
      </c>
    </row>
    <row r="232" spans="1:1" x14ac:dyDescent="0.15">
      <c r="A232" s="21" t="s">
        <v>730</v>
      </c>
    </row>
    <row r="233" spans="1:1" x14ac:dyDescent="0.15">
      <c r="A233" s="21" t="s">
        <v>731</v>
      </c>
    </row>
    <row r="234" spans="1:1" x14ac:dyDescent="0.15">
      <c r="A234" s="21" t="s">
        <v>732</v>
      </c>
    </row>
    <row r="235" spans="1:1" x14ac:dyDescent="0.15">
      <c r="A235" s="21" t="s">
        <v>733</v>
      </c>
    </row>
    <row r="236" spans="1:1" x14ac:dyDescent="0.15">
      <c r="A236" s="21" t="s">
        <v>734</v>
      </c>
    </row>
    <row r="237" spans="1:1" x14ac:dyDescent="0.15">
      <c r="A237" s="21" t="s">
        <v>735</v>
      </c>
    </row>
    <row r="238" spans="1:1" x14ac:dyDescent="0.15">
      <c r="A238" s="21" t="s">
        <v>736</v>
      </c>
    </row>
    <row r="239" spans="1:1" x14ac:dyDescent="0.15">
      <c r="A239" s="21" t="s">
        <v>737</v>
      </c>
    </row>
    <row r="240" spans="1:1" x14ac:dyDescent="0.15">
      <c r="A240" s="21" t="s">
        <v>738</v>
      </c>
    </row>
    <row r="241" spans="1:9" x14ac:dyDescent="0.15">
      <c r="A241" s="21" t="s">
        <v>739</v>
      </c>
    </row>
    <row r="242" spans="1:9" x14ac:dyDescent="0.15">
      <c r="A242" s="21" t="s">
        <v>740</v>
      </c>
    </row>
    <row r="243" spans="1:9" x14ac:dyDescent="0.15">
      <c r="A243" s="21" t="s">
        <v>741</v>
      </c>
    </row>
    <row r="244" spans="1:9" x14ac:dyDescent="0.15">
      <c r="A244" s="21" t="s">
        <v>742</v>
      </c>
    </row>
    <row r="245" spans="1:9" x14ac:dyDescent="0.15">
      <c r="A245" s="21" t="s">
        <v>743</v>
      </c>
    </row>
    <row r="246" spans="1:9" x14ac:dyDescent="0.15">
      <c r="A246" s="21" t="s">
        <v>744</v>
      </c>
    </row>
    <row r="247" spans="1:9" x14ac:dyDescent="0.15">
      <c r="A247" s="21" t="s">
        <v>745</v>
      </c>
    </row>
    <row r="248" spans="1:9" x14ac:dyDescent="0.15">
      <c r="A248" s="21" t="s">
        <v>746</v>
      </c>
    </row>
    <row r="249" spans="1:9" x14ac:dyDescent="0.15">
      <c r="A249" s="21" t="s">
        <v>747</v>
      </c>
    </row>
    <row r="250" spans="1:9" x14ac:dyDescent="0.15">
      <c r="A250" s="21" t="s">
        <v>748</v>
      </c>
    </row>
    <row r="251" spans="1:9" x14ac:dyDescent="0.15">
      <c r="A251" s="21" t="s">
        <v>749</v>
      </c>
    </row>
    <row r="252" spans="1:9" x14ac:dyDescent="0.15">
      <c r="A252" s="21" t="s">
        <v>750</v>
      </c>
    </row>
    <row r="253" spans="1:9" x14ac:dyDescent="0.15">
      <c r="A253" s="21" t="s">
        <v>751</v>
      </c>
      <c r="I253" s="111"/>
    </row>
    <row r="254" spans="1:9" x14ac:dyDescent="0.15">
      <c r="A254" s="21" t="s">
        <v>752</v>
      </c>
      <c r="I254" s="111"/>
    </row>
    <row r="255" spans="1:9" x14ac:dyDescent="0.15">
      <c r="A255" s="21" t="s">
        <v>753</v>
      </c>
      <c r="I255" s="111"/>
    </row>
    <row r="256" spans="1:9" x14ac:dyDescent="0.15">
      <c r="A256" s="21" t="s">
        <v>754</v>
      </c>
      <c r="I256" s="111"/>
    </row>
    <row r="257" spans="1:9" x14ac:dyDescent="0.15">
      <c r="A257" s="21" t="s">
        <v>755</v>
      </c>
      <c r="I257" s="111"/>
    </row>
    <row r="258" spans="1:9" x14ac:dyDescent="0.15">
      <c r="A258" s="21" t="s">
        <v>756</v>
      </c>
      <c r="I258" s="111"/>
    </row>
    <row r="259" spans="1:9" x14ac:dyDescent="0.15">
      <c r="A259" s="21" t="s">
        <v>757</v>
      </c>
      <c r="I259" s="111"/>
    </row>
    <row r="260" spans="1:9" x14ac:dyDescent="0.15">
      <c r="A260" s="21" t="s">
        <v>758</v>
      </c>
      <c r="I260" s="111"/>
    </row>
    <row r="261" spans="1:9" x14ac:dyDescent="0.15">
      <c r="A261" s="21" t="s">
        <v>759</v>
      </c>
      <c r="I261" s="111"/>
    </row>
    <row r="262" spans="1:9" x14ac:dyDescent="0.15">
      <c r="A262" s="21" t="s">
        <v>760</v>
      </c>
      <c r="I262" s="111"/>
    </row>
    <row r="263" spans="1:9" x14ac:dyDescent="0.15">
      <c r="A263" s="21" t="s">
        <v>761</v>
      </c>
      <c r="I263" s="111"/>
    </row>
    <row r="264" spans="1:9" x14ac:dyDescent="0.15">
      <c r="A264" s="21" t="s">
        <v>762</v>
      </c>
      <c r="I264" s="111"/>
    </row>
    <row r="265" spans="1:9" x14ac:dyDescent="0.15">
      <c r="A265" s="21" t="s">
        <v>763</v>
      </c>
      <c r="I265" s="111"/>
    </row>
    <row r="266" spans="1:9" x14ac:dyDescent="0.15">
      <c r="A266" s="21" t="s">
        <v>764</v>
      </c>
      <c r="I266" s="111"/>
    </row>
    <row r="267" spans="1:9" x14ac:dyDescent="0.15">
      <c r="A267" s="21" t="s">
        <v>765</v>
      </c>
      <c r="I267" s="111"/>
    </row>
    <row r="268" spans="1:9" x14ac:dyDescent="0.15">
      <c r="A268" s="21" t="s">
        <v>766</v>
      </c>
    </row>
    <row r="269" spans="1:9" x14ac:dyDescent="0.15">
      <c r="A269" s="21" t="s">
        <v>767</v>
      </c>
    </row>
    <row r="270" spans="1:9" x14ac:dyDescent="0.15">
      <c r="A270" s="21" t="s">
        <v>768</v>
      </c>
    </row>
    <row r="271" spans="1:9" x14ac:dyDescent="0.15">
      <c r="A271" s="21" t="s">
        <v>769</v>
      </c>
    </row>
    <row r="272" spans="1:9" x14ac:dyDescent="0.15">
      <c r="A272" s="21" t="s">
        <v>770</v>
      </c>
    </row>
    <row r="273" spans="1:1" x14ac:dyDescent="0.15">
      <c r="A273" s="21" t="s">
        <v>771</v>
      </c>
    </row>
    <row r="274" spans="1:1" x14ac:dyDescent="0.15">
      <c r="A274" s="21" t="s">
        <v>772</v>
      </c>
    </row>
    <row r="275" spans="1:1" x14ac:dyDescent="0.15">
      <c r="A275" s="21" t="s">
        <v>773</v>
      </c>
    </row>
    <row r="276" spans="1:1" x14ac:dyDescent="0.15">
      <c r="A276" s="21" t="s">
        <v>774</v>
      </c>
    </row>
    <row r="277" spans="1:1" x14ac:dyDescent="0.15">
      <c r="A277" s="21" t="s">
        <v>775</v>
      </c>
    </row>
    <row r="278" spans="1:1" x14ac:dyDescent="0.15">
      <c r="A278" s="21" t="s">
        <v>776</v>
      </c>
    </row>
    <row r="279" spans="1:1" x14ac:dyDescent="0.15">
      <c r="A279" s="21" t="s">
        <v>777</v>
      </c>
    </row>
    <row r="280" spans="1:1" x14ac:dyDescent="0.15">
      <c r="A280" s="21" t="s">
        <v>778</v>
      </c>
    </row>
    <row r="281" spans="1:1" x14ac:dyDescent="0.15">
      <c r="A281" s="21" t="s">
        <v>779</v>
      </c>
    </row>
    <row r="282" spans="1:1" x14ac:dyDescent="0.15">
      <c r="A282" s="21" t="s">
        <v>780</v>
      </c>
    </row>
    <row r="283" spans="1:1" x14ac:dyDescent="0.15">
      <c r="A283" s="21" t="s">
        <v>781</v>
      </c>
    </row>
    <row r="284" spans="1:1" x14ac:dyDescent="0.15">
      <c r="A284" s="21" t="s">
        <v>782</v>
      </c>
    </row>
    <row r="285" spans="1:1" x14ac:dyDescent="0.15">
      <c r="A285" s="21" t="s">
        <v>783</v>
      </c>
    </row>
    <row r="286" spans="1:1" x14ac:dyDescent="0.15">
      <c r="A286" s="21" t="s">
        <v>784</v>
      </c>
    </row>
    <row r="287" spans="1:1" x14ac:dyDescent="0.15">
      <c r="A287" s="21" t="s">
        <v>785</v>
      </c>
    </row>
    <row r="288" spans="1:1" x14ac:dyDescent="0.15">
      <c r="A288" s="21" t="s">
        <v>786</v>
      </c>
    </row>
    <row r="289" spans="1:1" x14ac:dyDescent="0.15">
      <c r="A289" s="21" t="s">
        <v>787</v>
      </c>
    </row>
    <row r="290" spans="1:1" x14ac:dyDescent="0.15">
      <c r="A290" s="21" t="s">
        <v>788</v>
      </c>
    </row>
    <row r="291" spans="1:1" x14ac:dyDescent="0.15">
      <c r="A291" s="21" t="s">
        <v>789</v>
      </c>
    </row>
    <row r="292" spans="1:1" x14ac:dyDescent="0.15">
      <c r="A292" s="21" t="s">
        <v>790</v>
      </c>
    </row>
    <row r="293" spans="1:1" x14ac:dyDescent="0.15">
      <c r="A293" s="21" t="s">
        <v>791</v>
      </c>
    </row>
    <row r="294" spans="1:1" x14ac:dyDescent="0.15">
      <c r="A294" s="21" t="s">
        <v>792</v>
      </c>
    </row>
    <row r="295" spans="1:1" x14ac:dyDescent="0.15">
      <c r="A295" s="21" t="s">
        <v>793</v>
      </c>
    </row>
    <row r="296" spans="1:1" x14ac:dyDescent="0.15">
      <c r="A296" s="21" t="s">
        <v>794</v>
      </c>
    </row>
    <row r="297" spans="1:1" x14ac:dyDescent="0.15">
      <c r="A297" s="21" t="s">
        <v>795</v>
      </c>
    </row>
    <row r="298" spans="1:1" x14ac:dyDescent="0.15">
      <c r="A298" s="21" t="s">
        <v>796</v>
      </c>
    </row>
    <row r="299" spans="1:1" x14ac:dyDescent="0.15">
      <c r="A299" s="21" t="s">
        <v>797</v>
      </c>
    </row>
    <row r="300" spans="1:1" x14ac:dyDescent="0.15">
      <c r="A300" s="21" t="s">
        <v>798</v>
      </c>
    </row>
    <row r="301" spans="1:1" x14ac:dyDescent="0.15">
      <c r="A301" s="21" t="s">
        <v>799</v>
      </c>
    </row>
    <row r="302" spans="1:1" x14ac:dyDescent="0.15">
      <c r="A302" s="21" t="s">
        <v>800</v>
      </c>
    </row>
    <row r="303" spans="1:1" x14ac:dyDescent="0.15">
      <c r="A303" s="21" t="s">
        <v>801</v>
      </c>
    </row>
    <row r="304" spans="1:1" x14ac:dyDescent="0.15">
      <c r="A304" s="21" t="s">
        <v>802</v>
      </c>
    </row>
    <row r="305" spans="1:1" x14ac:dyDescent="0.15">
      <c r="A305" s="21" t="s">
        <v>803</v>
      </c>
    </row>
    <row r="306" spans="1:1" x14ac:dyDescent="0.15">
      <c r="A306" s="21" t="s">
        <v>804</v>
      </c>
    </row>
    <row r="307" spans="1:1" x14ac:dyDescent="0.15">
      <c r="A307" s="21" t="s">
        <v>805</v>
      </c>
    </row>
    <row r="308" spans="1:1" x14ac:dyDescent="0.15">
      <c r="A308" s="21" t="s">
        <v>806</v>
      </c>
    </row>
    <row r="309" spans="1:1" x14ac:dyDescent="0.15">
      <c r="A309" s="21" t="s">
        <v>807</v>
      </c>
    </row>
    <row r="310" spans="1:1" x14ac:dyDescent="0.15">
      <c r="A310" s="21" t="s">
        <v>808</v>
      </c>
    </row>
    <row r="311" spans="1:1" x14ac:dyDescent="0.15">
      <c r="A311" s="21" t="s">
        <v>809</v>
      </c>
    </row>
    <row r="312" spans="1:1" x14ac:dyDescent="0.15">
      <c r="A312" s="21" t="s">
        <v>810</v>
      </c>
    </row>
    <row r="313" spans="1:1" x14ac:dyDescent="0.15">
      <c r="A313" s="21" t="s">
        <v>811</v>
      </c>
    </row>
    <row r="314" spans="1:1" x14ac:dyDescent="0.15">
      <c r="A314" s="21" t="s">
        <v>812</v>
      </c>
    </row>
    <row r="315" spans="1:1" x14ac:dyDescent="0.15">
      <c r="A315" s="21" t="s">
        <v>813</v>
      </c>
    </row>
    <row r="316" spans="1:1" x14ac:dyDescent="0.15">
      <c r="A316" s="21" t="s">
        <v>814</v>
      </c>
    </row>
    <row r="317" spans="1:1" x14ac:dyDescent="0.15">
      <c r="A317" s="21" t="s">
        <v>815</v>
      </c>
    </row>
    <row r="318" spans="1:1" x14ac:dyDescent="0.15">
      <c r="A318" s="21" t="s">
        <v>816</v>
      </c>
    </row>
    <row r="319" spans="1:1" x14ac:dyDescent="0.15">
      <c r="A319" s="21" t="s">
        <v>817</v>
      </c>
    </row>
    <row r="320" spans="1:1" x14ac:dyDescent="0.15">
      <c r="A320" s="21" t="s">
        <v>818</v>
      </c>
    </row>
    <row r="321" spans="1:1" x14ac:dyDescent="0.15">
      <c r="A321" s="21" t="s">
        <v>819</v>
      </c>
    </row>
    <row r="322" spans="1:1" x14ac:dyDescent="0.15">
      <c r="A322" s="21" t="s">
        <v>820</v>
      </c>
    </row>
    <row r="323" spans="1:1" x14ac:dyDescent="0.15">
      <c r="A323" s="21" t="s">
        <v>821</v>
      </c>
    </row>
    <row r="324" spans="1:1" x14ac:dyDescent="0.15">
      <c r="A324" s="21" t="s">
        <v>822</v>
      </c>
    </row>
    <row r="325" spans="1:1" x14ac:dyDescent="0.15">
      <c r="A325" s="21" t="s">
        <v>823</v>
      </c>
    </row>
    <row r="326" spans="1:1" x14ac:dyDescent="0.15">
      <c r="A326" s="21" t="s">
        <v>824</v>
      </c>
    </row>
    <row r="327" spans="1:1" x14ac:dyDescent="0.15">
      <c r="A327" s="21" t="s">
        <v>825</v>
      </c>
    </row>
    <row r="328" spans="1:1" x14ac:dyDescent="0.15">
      <c r="A328" s="21" t="s">
        <v>826</v>
      </c>
    </row>
    <row r="329" spans="1:1" x14ac:dyDescent="0.15">
      <c r="A329" s="21" t="s">
        <v>827</v>
      </c>
    </row>
    <row r="330" spans="1:1" x14ac:dyDescent="0.15">
      <c r="A330" s="21" t="s">
        <v>828</v>
      </c>
    </row>
    <row r="331" spans="1:1" x14ac:dyDescent="0.15">
      <c r="A331" s="21" t="s">
        <v>829</v>
      </c>
    </row>
    <row r="332" spans="1:1" x14ac:dyDescent="0.15">
      <c r="A332" s="21" t="s">
        <v>830</v>
      </c>
    </row>
    <row r="333" spans="1:1" x14ac:dyDescent="0.15">
      <c r="A333" s="21" t="s">
        <v>831</v>
      </c>
    </row>
    <row r="334" spans="1:1" x14ac:dyDescent="0.15">
      <c r="A334" s="21" t="s">
        <v>832</v>
      </c>
    </row>
    <row r="335" spans="1:1" x14ac:dyDescent="0.15">
      <c r="A335" s="21" t="s">
        <v>833</v>
      </c>
    </row>
    <row r="336" spans="1:1" x14ac:dyDescent="0.15">
      <c r="A336" s="21" t="s">
        <v>834</v>
      </c>
    </row>
    <row r="337" spans="1:1" x14ac:dyDescent="0.15">
      <c r="A337" s="21" t="s">
        <v>835</v>
      </c>
    </row>
    <row r="338" spans="1:1" x14ac:dyDescent="0.15">
      <c r="A338" s="21" t="s">
        <v>836</v>
      </c>
    </row>
    <row r="339" spans="1:1" x14ac:dyDescent="0.15">
      <c r="A339" s="21" t="s">
        <v>837</v>
      </c>
    </row>
    <row r="340" spans="1:1" x14ac:dyDescent="0.15">
      <c r="A340" s="21" t="s">
        <v>838</v>
      </c>
    </row>
    <row r="341" spans="1:1" x14ac:dyDescent="0.15">
      <c r="A341" s="21" t="s">
        <v>839</v>
      </c>
    </row>
    <row r="342" spans="1:1" x14ac:dyDescent="0.15">
      <c r="A342" s="21" t="s">
        <v>840</v>
      </c>
    </row>
    <row r="343" spans="1:1" x14ac:dyDescent="0.15">
      <c r="A343" s="21" t="s">
        <v>841</v>
      </c>
    </row>
    <row r="344" spans="1:1" x14ac:dyDescent="0.15">
      <c r="A344" s="21" t="s">
        <v>842</v>
      </c>
    </row>
    <row r="345" spans="1:1" x14ac:dyDescent="0.15">
      <c r="A345" s="21" t="s">
        <v>843</v>
      </c>
    </row>
    <row r="346" spans="1:1" x14ac:dyDescent="0.15">
      <c r="A346" s="21" t="s">
        <v>844</v>
      </c>
    </row>
    <row r="347" spans="1:1" x14ac:dyDescent="0.15">
      <c r="A347" s="21" t="s">
        <v>845</v>
      </c>
    </row>
    <row r="348" spans="1:1" x14ac:dyDescent="0.15">
      <c r="A348" s="21" t="s">
        <v>846</v>
      </c>
    </row>
    <row r="349" spans="1:1" x14ac:dyDescent="0.15">
      <c r="A349" s="21" t="s">
        <v>847</v>
      </c>
    </row>
    <row r="350" spans="1:1" x14ac:dyDescent="0.15">
      <c r="A350" s="21" t="s">
        <v>848</v>
      </c>
    </row>
    <row r="351" spans="1:1" x14ac:dyDescent="0.15">
      <c r="A351" s="21" t="s">
        <v>849</v>
      </c>
    </row>
    <row r="352" spans="1:1" x14ac:dyDescent="0.15">
      <c r="A352" s="21" t="s">
        <v>850</v>
      </c>
    </row>
    <row r="353" spans="1:7" x14ac:dyDescent="0.15">
      <c r="A353" s="21" t="s">
        <v>851</v>
      </c>
    </row>
    <row r="354" spans="1:7" x14ac:dyDescent="0.15">
      <c r="A354" s="21" t="s">
        <v>852</v>
      </c>
    </row>
    <row r="355" spans="1:7" x14ac:dyDescent="0.15">
      <c r="A355" s="21" t="s">
        <v>853</v>
      </c>
    </row>
    <row r="356" spans="1:7" x14ac:dyDescent="0.15">
      <c r="A356" s="21" t="s">
        <v>854</v>
      </c>
    </row>
    <row r="357" spans="1:7" x14ac:dyDescent="0.15">
      <c r="A357" s="21" t="s">
        <v>855</v>
      </c>
    </row>
    <row r="358" spans="1:7" x14ac:dyDescent="0.15">
      <c r="A358" s="21" t="s">
        <v>856</v>
      </c>
    </row>
    <row r="359" spans="1:7" x14ac:dyDescent="0.15">
      <c r="A359" s="21" t="s">
        <v>857</v>
      </c>
    </row>
    <row r="360" spans="1:7" x14ac:dyDescent="0.15">
      <c r="A360" s="21" t="s">
        <v>858</v>
      </c>
      <c r="B360" s="69"/>
      <c r="C360" s="69"/>
      <c r="D360" s="69"/>
      <c r="E360" s="69"/>
      <c r="F360" s="69"/>
      <c r="G360" s="69"/>
    </row>
    <row r="361" spans="1:7" x14ac:dyDescent="0.15">
      <c r="A361" s="21" t="s">
        <v>859</v>
      </c>
      <c r="B361" s="69"/>
      <c r="C361" s="69"/>
      <c r="D361" s="69"/>
      <c r="E361" s="69"/>
      <c r="F361" s="69"/>
      <c r="G361" s="69"/>
    </row>
    <row r="362" spans="1:7" x14ac:dyDescent="0.15">
      <c r="A362" s="21" t="s">
        <v>860</v>
      </c>
      <c r="B362" s="69"/>
      <c r="C362" s="69"/>
      <c r="D362" s="69"/>
      <c r="E362" s="69"/>
      <c r="F362" s="69"/>
      <c r="G362" s="69"/>
    </row>
    <row r="363" spans="1:7" x14ac:dyDescent="0.15">
      <c r="A363" s="21" t="s">
        <v>861</v>
      </c>
      <c r="B363" s="69"/>
      <c r="C363" s="69"/>
      <c r="D363" s="69"/>
      <c r="E363" s="69"/>
      <c r="F363" s="69"/>
      <c r="G363" s="69"/>
    </row>
    <row r="364" spans="1:7" x14ac:dyDescent="0.15">
      <c r="A364" s="21" t="s">
        <v>862</v>
      </c>
      <c r="B364" s="69"/>
      <c r="C364" s="69"/>
      <c r="D364" s="69"/>
      <c r="E364" s="69"/>
      <c r="F364" s="69"/>
      <c r="G364" s="69"/>
    </row>
    <row r="365" spans="1:7" x14ac:dyDescent="0.15">
      <c r="A365" s="21" t="s">
        <v>863</v>
      </c>
      <c r="B365" s="69"/>
      <c r="C365" s="69"/>
      <c r="D365" s="69"/>
      <c r="E365" s="69"/>
      <c r="F365" s="69"/>
      <c r="G365" s="69"/>
    </row>
    <row r="366" spans="1:7" x14ac:dyDescent="0.15">
      <c r="A366" s="21" t="s">
        <v>864</v>
      </c>
      <c r="B366" s="69"/>
      <c r="C366" s="69"/>
      <c r="D366" s="69"/>
      <c r="E366" s="69"/>
      <c r="F366" s="69"/>
      <c r="G366" s="69"/>
    </row>
    <row r="367" spans="1:7" x14ac:dyDescent="0.15">
      <c r="A367" s="21" t="s">
        <v>865</v>
      </c>
      <c r="B367" s="69"/>
      <c r="C367" s="69"/>
      <c r="D367" s="69"/>
      <c r="E367" s="69"/>
      <c r="F367" s="69"/>
      <c r="G367" s="69"/>
    </row>
    <row r="368" spans="1:7" x14ac:dyDescent="0.15">
      <c r="A368" s="21" t="s">
        <v>866</v>
      </c>
      <c r="B368" s="69"/>
      <c r="C368" s="69"/>
      <c r="D368" s="69"/>
      <c r="E368" s="69"/>
      <c r="F368" s="69"/>
      <c r="G368" s="69"/>
    </row>
    <row r="369" spans="1:7" x14ac:dyDescent="0.15">
      <c r="A369" s="21" t="s">
        <v>867</v>
      </c>
      <c r="B369" s="69"/>
      <c r="C369" s="69"/>
      <c r="D369" s="69"/>
      <c r="E369" s="69"/>
      <c r="F369" s="69"/>
      <c r="G369" s="69"/>
    </row>
    <row r="370" spans="1:7" x14ac:dyDescent="0.15">
      <c r="A370" s="21" t="s">
        <v>868</v>
      </c>
      <c r="B370" s="69"/>
      <c r="C370" s="69"/>
      <c r="D370" s="69"/>
      <c r="E370" s="69"/>
      <c r="F370" s="69"/>
      <c r="G370" s="69"/>
    </row>
    <row r="371" spans="1:7" x14ac:dyDescent="0.15">
      <c r="A371" s="21" t="s">
        <v>869</v>
      </c>
      <c r="B371" s="69"/>
      <c r="C371" s="69"/>
      <c r="D371" s="69"/>
      <c r="E371" s="69"/>
      <c r="F371" s="69"/>
      <c r="G371" s="69"/>
    </row>
    <row r="372" spans="1:7" x14ac:dyDescent="0.15">
      <c r="A372" s="21" t="s">
        <v>870</v>
      </c>
      <c r="B372" s="69"/>
      <c r="C372" s="69"/>
      <c r="D372" s="69"/>
      <c r="E372" s="69"/>
      <c r="F372" s="69"/>
      <c r="G372" s="69"/>
    </row>
    <row r="373" spans="1:7" x14ac:dyDescent="0.15">
      <c r="A373" s="21" t="s">
        <v>871</v>
      </c>
      <c r="B373" s="69"/>
      <c r="C373" s="69"/>
      <c r="D373" s="69"/>
      <c r="E373" s="69"/>
      <c r="F373" s="69"/>
      <c r="G373" s="69"/>
    </row>
    <row r="374" spans="1:7" x14ac:dyDescent="0.15">
      <c r="A374" s="21" t="s">
        <v>872</v>
      </c>
      <c r="B374" s="69"/>
      <c r="C374" s="69"/>
      <c r="D374" s="69"/>
      <c r="E374" s="69"/>
      <c r="F374" s="69"/>
      <c r="G374" s="69"/>
    </row>
    <row r="375" spans="1:7" x14ac:dyDescent="0.15">
      <c r="A375" s="21" t="s">
        <v>873</v>
      </c>
      <c r="B375" s="69"/>
      <c r="C375" s="69"/>
      <c r="D375" s="69"/>
      <c r="E375" s="69"/>
      <c r="F375" s="69"/>
      <c r="G375" s="69"/>
    </row>
    <row r="376" spans="1:7" x14ac:dyDescent="0.15">
      <c r="A376" s="21" t="s">
        <v>874</v>
      </c>
      <c r="B376" s="69"/>
      <c r="C376" s="69"/>
      <c r="D376" s="69"/>
      <c r="E376" s="69"/>
      <c r="F376" s="69"/>
      <c r="G376" s="69"/>
    </row>
    <row r="377" spans="1:7" x14ac:dyDescent="0.15">
      <c r="A377" s="21" t="s">
        <v>875</v>
      </c>
      <c r="B377" s="69"/>
      <c r="C377" s="69"/>
      <c r="D377" s="69"/>
      <c r="E377" s="69"/>
      <c r="F377" s="69"/>
      <c r="G377" s="69"/>
    </row>
    <row r="378" spans="1:7" x14ac:dyDescent="0.15">
      <c r="A378" s="21" t="s">
        <v>876</v>
      </c>
      <c r="B378" s="69"/>
      <c r="C378" s="69"/>
      <c r="D378" s="69"/>
      <c r="E378" s="69"/>
      <c r="F378" s="69"/>
      <c r="G378" s="69"/>
    </row>
    <row r="379" spans="1:7" x14ac:dyDescent="0.15">
      <c r="A379" s="21" t="s">
        <v>877</v>
      </c>
      <c r="B379" s="69"/>
      <c r="C379" s="69"/>
      <c r="D379" s="69"/>
      <c r="E379" s="69"/>
      <c r="F379" s="69"/>
      <c r="G379" s="69"/>
    </row>
    <row r="380" spans="1:7" x14ac:dyDescent="0.15">
      <c r="A380" s="21" t="s">
        <v>878</v>
      </c>
      <c r="B380" s="69"/>
      <c r="C380" s="69"/>
      <c r="D380" s="69"/>
      <c r="E380" s="69"/>
      <c r="F380" s="69"/>
      <c r="G380" s="69"/>
    </row>
    <row r="381" spans="1:7" x14ac:dyDescent="0.15">
      <c r="A381" s="21" t="s">
        <v>879</v>
      </c>
      <c r="B381" s="69"/>
      <c r="C381" s="69"/>
      <c r="D381" s="69"/>
      <c r="E381" s="69"/>
      <c r="F381" s="69"/>
      <c r="G381" s="69"/>
    </row>
    <row r="382" spans="1:7" x14ac:dyDescent="0.15">
      <c r="A382" s="21" t="s">
        <v>880</v>
      </c>
      <c r="B382" s="69"/>
      <c r="C382" s="69"/>
      <c r="D382" s="69"/>
      <c r="E382" s="69"/>
      <c r="F382" s="69"/>
      <c r="G382" s="69"/>
    </row>
    <row r="383" spans="1:7" x14ac:dyDescent="0.15">
      <c r="A383" s="21" t="s">
        <v>881</v>
      </c>
      <c r="B383" s="69"/>
      <c r="C383" s="69"/>
      <c r="D383" s="69"/>
      <c r="E383" s="69"/>
      <c r="F383" s="69"/>
      <c r="G383" s="69"/>
    </row>
    <row r="384" spans="1:7" x14ac:dyDescent="0.15">
      <c r="A384" s="21" t="s">
        <v>882</v>
      </c>
      <c r="B384" s="69"/>
      <c r="C384" s="69"/>
      <c r="D384" s="69"/>
      <c r="E384" s="69"/>
      <c r="F384" s="69"/>
      <c r="G384" s="69"/>
    </row>
    <row r="385" spans="1:7" x14ac:dyDescent="0.15">
      <c r="A385" s="21" t="s">
        <v>883</v>
      </c>
      <c r="B385" s="69"/>
      <c r="C385" s="69"/>
      <c r="D385" s="69"/>
      <c r="E385" s="69"/>
      <c r="F385" s="69"/>
      <c r="G385" s="69"/>
    </row>
    <row r="386" spans="1:7" x14ac:dyDescent="0.15">
      <c r="A386" s="21" t="s">
        <v>884</v>
      </c>
      <c r="B386" s="69"/>
      <c r="C386" s="69"/>
      <c r="D386" s="69"/>
      <c r="E386" s="69"/>
      <c r="F386" s="69"/>
      <c r="G386" s="69"/>
    </row>
    <row r="387" spans="1:7" x14ac:dyDescent="0.15">
      <c r="A387" s="21" t="s">
        <v>885</v>
      </c>
      <c r="B387" s="69"/>
      <c r="C387" s="69"/>
      <c r="D387" s="69"/>
      <c r="E387" s="69"/>
      <c r="F387" s="69"/>
      <c r="G387" s="69"/>
    </row>
    <row r="388" spans="1:7" x14ac:dyDescent="0.15">
      <c r="A388" s="21" t="s">
        <v>886</v>
      </c>
      <c r="B388" s="69"/>
      <c r="C388" s="69"/>
      <c r="D388" s="69"/>
      <c r="E388" s="69"/>
      <c r="F388" s="69"/>
      <c r="G388" s="69"/>
    </row>
    <row r="389" spans="1:7" x14ac:dyDescent="0.15">
      <c r="A389" s="21" t="s">
        <v>887</v>
      </c>
      <c r="B389" s="69"/>
      <c r="C389" s="69"/>
      <c r="D389" s="69"/>
      <c r="E389" s="69"/>
      <c r="F389" s="69"/>
      <c r="G389" s="69"/>
    </row>
    <row r="390" spans="1:7" x14ac:dyDescent="0.15">
      <c r="A390" s="21" t="s">
        <v>888</v>
      </c>
      <c r="B390" s="69"/>
      <c r="C390" s="69"/>
      <c r="D390" s="69"/>
      <c r="E390" s="69"/>
      <c r="F390" s="69"/>
      <c r="G390" s="69"/>
    </row>
    <row r="391" spans="1:7" x14ac:dyDescent="0.15">
      <c r="A391" s="21" t="s">
        <v>889</v>
      </c>
      <c r="B391" s="69"/>
      <c r="C391" s="69"/>
      <c r="D391" s="69"/>
      <c r="E391" s="69"/>
      <c r="F391" s="69"/>
      <c r="G391" s="69"/>
    </row>
    <row r="392" spans="1:7" x14ac:dyDescent="0.15">
      <c r="A392" s="21" t="s">
        <v>890</v>
      </c>
      <c r="B392" s="69"/>
      <c r="C392" s="69"/>
      <c r="D392" s="69"/>
      <c r="E392" s="69"/>
      <c r="F392" s="69"/>
      <c r="G392" s="69"/>
    </row>
    <row r="393" spans="1:7" x14ac:dyDescent="0.15">
      <c r="A393" s="21" t="s">
        <v>891</v>
      </c>
      <c r="B393" s="69"/>
      <c r="C393" s="69"/>
      <c r="D393" s="69"/>
      <c r="E393" s="69"/>
      <c r="F393" s="69"/>
      <c r="G393" s="69"/>
    </row>
    <row r="394" spans="1:7" x14ac:dyDescent="0.15">
      <c r="A394" s="21" t="s">
        <v>892</v>
      </c>
      <c r="B394" s="69"/>
      <c r="C394" s="69"/>
      <c r="D394" s="69"/>
      <c r="E394" s="69"/>
      <c r="F394" s="69"/>
      <c r="G394" s="69"/>
    </row>
    <row r="395" spans="1:7" x14ac:dyDescent="0.15">
      <c r="A395" s="21" t="s">
        <v>893</v>
      </c>
      <c r="B395" s="69"/>
      <c r="C395" s="69"/>
      <c r="D395" s="69"/>
      <c r="E395" s="69"/>
      <c r="F395" s="69"/>
      <c r="G395" s="69"/>
    </row>
    <row r="396" spans="1:7" x14ac:dyDescent="0.15">
      <c r="A396" s="21" t="s">
        <v>894</v>
      </c>
      <c r="B396" s="69"/>
      <c r="C396" s="69"/>
      <c r="D396" s="69"/>
      <c r="E396" s="69"/>
      <c r="F396" s="69"/>
      <c r="G396" s="69"/>
    </row>
    <row r="397" spans="1:7" x14ac:dyDescent="0.15">
      <c r="A397" s="21" t="s">
        <v>895</v>
      </c>
      <c r="B397" s="69"/>
      <c r="C397" s="69"/>
      <c r="D397" s="69"/>
      <c r="E397" s="69"/>
      <c r="F397" s="69"/>
      <c r="G397" s="69"/>
    </row>
    <row r="398" spans="1:7" x14ac:dyDescent="0.15">
      <c r="A398" s="21" t="s">
        <v>896</v>
      </c>
      <c r="B398" s="69"/>
      <c r="C398" s="69"/>
      <c r="D398" s="69"/>
      <c r="E398" s="69"/>
      <c r="F398" s="69"/>
      <c r="G398" s="69"/>
    </row>
    <row r="399" spans="1:7" x14ac:dyDescent="0.15">
      <c r="A399" s="21" t="s">
        <v>897</v>
      </c>
      <c r="B399" s="69"/>
      <c r="C399" s="69"/>
      <c r="D399" s="69"/>
      <c r="E399" s="69"/>
      <c r="F399" s="69"/>
      <c r="G399" s="69"/>
    </row>
    <row r="400" spans="1:7" x14ac:dyDescent="0.15">
      <c r="A400" s="21" t="s">
        <v>898</v>
      </c>
      <c r="B400" s="69"/>
      <c r="C400" s="69"/>
      <c r="D400" s="69"/>
      <c r="E400" s="69"/>
      <c r="F400" s="69"/>
      <c r="G400" s="69"/>
    </row>
    <row r="401" spans="1:7" x14ac:dyDescent="0.15">
      <c r="A401" s="21" t="s">
        <v>899</v>
      </c>
      <c r="B401" s="69"/>
      <c r="C401" s="69"/>
      <c r="D401" s="69"/>
      <c r="E401" s="69"/>
      <c r="F401" s="69"/>
      <c r="G401" s="69"/>
    </row>
    <row r="402" spans="1:7" x14ac:dyDescent="0.15">
      <c r="A402" s="21" t="s">
        <v>900</v>
      </c>
      <c r="B402" s="69"/>
      <c r="C402" s="69"/>
      <c r="D402" s="69"/>
      <c r="E402" s="69"/>
      <c r="F402" s="69"/>
      <c r="G402" s="69"/>
    </row>
    <row r="403" spans="1:7" x14ac:dyDescent="0.15">
      <c r="A403" s="21" t="s">
        <v>901</v>
      </c>
      <c r="B403" s="69"/>
      <c r="C403" s="69"/>
      <c r="D403" s="69"/>
      <c r="E403" s="69"/>
      <c r="F403" s="69"/>
      <c r="G403" s="69"/>
    </row>
    <row r="404" spans="1:7" x14ac:dyDescent="0.15">
      <c r="A404" s="21" t="s">
        <v>902</v>
      </c>
      <c r="B404" s="69"/>
      <c r="C404" s="69"/>
      <c r="D404" s="69"/>
      <c r="E404" s="69"/>
      <c r="F404" s="69"/>
      <c r="G404" s="69"/>
    </row>
    <row r="405" spans="1:7" x14ac:dyDescent="0.15">
      <c r="A405" s="21" t="s">
        <v>903</v>
      </c>
      <c r="B405" s="69"/>
      <c r="C405" s="69"/>
      <c r="D405" s="69"/>
      <c r="E405" s="69"/>
      <c r="F405" s="69"/>
      <c r="G405" s="69"/>
    </row>
    <row r="406" spans="1:7" x14ac:dyDescent="0.15">
      <c r="A406" s="21" t="s">
        <v>904</v>
      </c>
      <c r="B406" s="69"/>
      <c r="C406" s="69"/>
      <c r="D406" s="69"/>
      <c r="E406" s="69"/>
      <c r="F406" s="69"/>
      <c r="G406" s="69"/>
    </row>
    <row r="407" spans="1:7" x14ac:dyDescent="0.15">
      <c r="A407" s="21" t="s">
        <v>905</v>
      </c>
      <c r="B407" s="69"/>
      <c r="C407" s="69"/>
      <c r="D407" s="69"/>
      <c r="E407" s="69"/>
      <c r="F407" s="69"/>
      <c r="G407" s="69"/>
    </row>
    <row r="408" spans="1:7" x14ac:dyDescent="0.15">
      <c r="A408" s="21" t="s">
        <v>906</v>
      </c>
      <c r="B408" s="69"/>
      <c r="C408" s="69"/>
      <c r="D408" s="69"/>
      <c r="E408" s="69"/>
      <c r="F408" s="69"/>
      <c r="G408" s="69"/>
    </row>
    <row r="409" spans="1:7" x14ac:dyDescent="0.15">
      <c r="A409" s="21" t="s">
        <v>907</v>
      </c>
      <c r="B409" s="69"/>
      <c r="C409" s="69"/>
      <c r="D409" s="69"/>
      <c r="E409" s="69"/>
      <c r="F409" s="69"/>
      <c r="G409" s="69"/>
    </row>
    <row r="410" spans="1:7" x14ac:dyDescent="0.15">
      <c r="A410" s="21" t="s">
        <v>908</v>
      </c>
      <c r="B410" s="69"/>
      <c r="C410" s="69"/>
      <c r="D410" s="69"/>
      <c r="E410" s="69"/>
      <c r="F410" s="69"/>
      <c r="G410" s="69"/>
    </row>
    <row r="411" spans="1:7" x14ac:dyDescent="0.15">
      <c r="A411" s="21" t="s">
        <v>909</v>
      </c>
      <c r="B411" s="69"/>
      <c r="C411" s="69"/>
      <c r="D411" s="69"/>
      <c r="E411" s="69"/>
      <c r="F411" s="69"/>
      <c r="G411" s="69"/>
    </row>
    <row r="412" spans="1:7" x14ac:dyDescent="0.15">
      <c r="A412" s="21" t="s">
        <v>910</v>
      </c>
      <c r="B412" s="69"/>
      <c r="C412" s="69"/>
      <c r="D412" s="69"/>
      <c r="E412" s="69"/>
      <c r="F412" s="69"/>
      <c r="G412" s="69"/>
    </row>
    <row r="413" spans="1:7" x14ac:dyDescent="0.15">
      <c r="A413" s="21" t="s">
        <v>911</v>
      </c>
      <c r="B413" s="69"/>
      <c r="C413" s="69"/>
      <c r="D413" s="69"/>
      <c r="E413" s="69"/>
      <c r="F413" s="69"/>
      <c r="G413" s="69"/>
    </row>
    <row r="414" spans="1:7" x14ac:dyDescent="0.15">
      <c r="A414" s="21" t="s">
        <v>912</v>
      </c>
      <c r="B414" s="69"/>
      <c r="C414" s="69"/>
      <c r="D414" s="69"/>
      <c r="E414" s="69"/>
      <c r="F414" s="69"/>
      <c r="G414" s="69"/>
    </row>
    <row r="415" spans="1:7" x14ac:dyDescent="0.15">
      <c r="A415" s="21" t="s">
        <v>913</v>
      </c>
      <c r="B415" s="69"/>
      <c r="C415" s="69"/>
      <c r="D415" s="69"/>
      <c r="E415" s="69"/>
      <c r="F415" s="69"/>
      <c r="G415" s="69"/>
    </row>
    <row r="416" spans="1:7" x14ac:dyDescent="0.15">
      <c r="A416" s="21" t="s">
        <v>914</v>
      </c>
      <c r="B416" s="69"/>
      <c r="C416" s="69"/>
      <c r="D416" s="69"/>
      <c r="E416" s="69"/>
      <c r="F416" s="69"/>
      <c r="G416" s="69"/>
    </row>
    <row r="417" spans="2:7" x14ac:dyDescent="0.15">
      <c r="B417" s="69"/>
      <c r="C417" s="69"/>
      <c r="D417" s="69"/>
      <c r="E417" s="69"/>
      <c r="F417" s="69"/>
      <c r="G417" s="69"/>
    </row>
    <row r="418" spans="2:7" x14ac:dyDescent="0.15">
      <c r="B418" s="69"/>
      <c r="C418" s="69"/>
      <c r="D418" s="69"/>
      <c r="E418" s="69"/>
      <c r="F418" s="69"/>
      <c r="G418" s="69"/>
    </row>
    <row r="419" spans="2:7" x14ac:dyDescent="0.15">
      <c r="B419" s="69"/>
      <c r="C419" s="69"/>
      <c r="D419" s="69"/>
      <c r="E419" s="69"/>
      <c r="F419" s="69"/>
      <c r="G419" s="69"/>
    </row>
    <row r="420" spans="2:7" x14ac:dyDescent="0.15">
      <c r="B420" s="69"/>
      <c r="C420" s="69"/>
      <c r="D420" s="69"/>
      <c r="E420" s="69"/>
      <c r="F420" s="69"/>
      <c r="G420" s="69"/>
    </row>
    <row r="421" spans="2:7" x14ac:dyDescent="0.15">
      <c r="B421" s="69"/>
      <c r="C421" s="69"/>
      <c r="D421" s="69"/>
      <c r="E421" s="69"/>
      <c r="F421" s="69"/>
      <c r="G421" s="69"/>
    </row>
    <row r="422" spans="2:7" x14ac:dyDescent="0.15">
      <c r="B422" s="69"/>
      <c r="C422" s="69"/>
      <c r="D422" s="69"/>
      <c r="E422" s="69"/>
      <c r="F422" s="69"/>
      <c r="G422" s="69"/>
    </row>
    <row r="423" spans="2:7" x14ac:dyDescent="0.15">
      <c r="B423" s="69"/>
      <c r="C423" s="69"/>
      <c r="D423" s="69"/>
      <c r="E423" s="69"/>
      <c r="F423" s="69"/>
      <c r="G423" s="69"/>
    </row>
    <row r="424" spans="2:7" x14ac:dyDescent="0.15">
      <c r="B424" s="69"/>
      <c r="C424" s="69"/>
      <c r="D424" s="69"/>
      <c r="E424" s="69"/>
      <c r="F424" s="69"/>
      <c r="G424" s="69"/>
    </row>
    <row r="425" spans="2:7" x14ac:dyDescent="0.15">
      <c r="B425" s="69"/>
      <c r="C425" s="69"/>
      <c r="D425" s="69"/>
      <c r="E425" s="69"/>
      <c r="F425" s="69"/>
      <c r="G425" s="69"/>
    </row>
    <row r="426" spans="2:7" x14ac:dyDescent="0.15">
      <c r="B426" s="69"/>
      <c r="C426" s="69"/>
      <c r="D426" s="69"/>
      <c r="E426" s="69"/>
      <c r="F426" s="69"/>
      <c r="G426" s="69"/>
    </row>
    <row r="427" spans="2:7" x14ac:dyDescent="0.15">
      <c r="B427" s="69"/>
      <c r="C427" s="69"/>
      <c r="D427" s="69"/>
      <c r="E427" s="69"/>
      <c r="F427" s="69"/>
      <c r="G427" s="69"/>
    </row>
    <row r="428" spans="2:7" x14ac:dyDescent="0.15">
      <c r="B428" s="69"/>
      <c r="C428" s="69"/>
      <c r="D428" s="69"/>
      <c r="E428" s="69"/>
      <c r="F428" s="69"/>
      <c r="G428" s="69"/>
    </row>
    <row r="429" spans="2:7" x14ac:dyDescent="0.15">
      <c r="B429" s="69"/>
      <c r="C429" s="69"/>
      <c r="D429" s="69"/>
      <c r="E429" s="69"/>
      <c r="F429" s="69"/>
      <c r="G429" s="69"/>
    </row>
    <row r="430" spans="2:7" x14ac:dyDescent="0.15">
      <c r="B430" s="69"/>
      <c r="C430" s="69"/>
      <c r="D430" s="69"/>
      <c r="E430" s="69"/>
      <c r="F430" s="69"/>
      <c r="G430" s="69"/>
    </row>
    <row r="431" spans="2:7" x14ac:dyDescent="0.15">
      <c r="B431" s="69"/>
      <c r="C431" s="69"/>
      <c r="D431" s="69"/>
      <c r="E431" s="69"/>
      <c r="F431" s="69"/>
      <c r="G431" s="69"/>
    </row>
    <row r="432" spans="2:7" x14ac:dyDescent="0.15">
      <c r="B432" s="69"/>
      <c r="C432" s="69"/>
      <c r="D432" s="69"/>
      <c r="E432" s="69"/>
      <c r="F432" s="69"/>
      <c r="G432" s="69"/>
    </row>
    <row r="433" spans="2:7" x14ac:dyDescent="0.15">
      <c r="B433" s="69"/>
      <c r="C433" s="69"/>
      <c r="D433" s="69"/>
      <c r="E433" s="69"/>
      <c r="F433" s="69"/>
      <c r="G433" s="69"/>
    </row>
    <row r="434" spans="2:7" x14ac:dyDescent="0.15">
      <c r="B434" s="69"/>
      <c r="C434" s="69"/>
      <c r="D434" s="69"/>
      <c r="E434" s="69"/>
      <c r="F434" s="69"/>
      <c r="G434" s="69"/>
    </row>
    <row r="435" spans="2:7" x14ac:dyDescent="0.15">
      <c r="B435" s="69"/>
      <c r="C435" s="69"/>
      <c r="D435" s="69"/>
      <c r="E435" s="69"/>
      <c r="F435" s="69"/>
      <c r="G435" s="69"/>
    </row>
    <row r="436" spans="2:7" x14ac:dyDescent="0.15">
      <c r="B436" s="69"/>
      <c r="C436" s="69"/>
      <c r="D436" s="69"/>
      <c r="E436" s="69"/>
      <c r="F436" s="69"/>
      <c r="G436" s="69"/>
    </row>
    <row r="437" spans="2:7" x14ac:dyDescent="0.15">
      <c r="B437" s="69"/>
      <c r="C437" s="69"/>
      <c r="D437" s="69"/>
      <c r="E437" s="69"/>
      <c r="F437" s="69"/>
      <c r="G437" s="69"/>
    </row>
    <row r="438" spans="2:7" x14ac:dyDescent="0.15">
      <c r="B438" s="69"/>
      <c r="C438" s="69"/>
      <c r="D438" s="69"/>
      <c r="E438" s="69"/>
      <c r="F438" s="69"/>
      <c r="G438" s="69"/>
    </row>
    <row r="439" spans="2:7" x14ac:dyDescent="0.15">
      <c r="B439" s="69"/>
      <c r="C439" s="69"/>
      <c r="D439" s="69"/>
      <c r="E439" s="69"/>
      <c r="F439" s="69"/>
      <c r="G439" s="69"/>
    </row>
    <row r="440" spans="2:7" x14ac:dyDescent="0.15">
      <c r="B440" s="69"/>
      <c r="C440" s="69"/>
      <c r="D440" s="69"/>
      <c r="E440" s="69"/>
      <c r="F440" s="69"/>
      <c r="G440" s="69"/>
    </row>
    <row r="441" spans="2:7" x14ac:dyDescent="0.15">
      <c r="B441" s="69"/>
      <c r="C441" s="69"/>
      <c r="D441" s="69"/>
      <c r="E441" s="69"/>
      <c r="F441" s="69"/>
      <c r="G441" s="69"/>
    </row>
    <row r="442" spans="2:7" x14ac:dyDescent="0.15">
      <c r="B442" s="69"/>
      <c r="C442" s="69"/>
      <c r="D442" s="69"/>
      <c r="E442" s="69"/>
      <c r="F442" s="69"/>
      <c r="G442" s="69"/>
    </row>
    <row r="443" spans="2:7" x14ac:dyDescent="0.15">
      <c r="B443" s="69"/>
      <c r="C443" s="69"/>
      <c r="D443" s="69"/>
      <c r="E443" s="69"/>
      <c r="F443" s="69"/>
      <c r="G443" s="69"/>
    </row>
    <row r="444" spans="2:7" x14ac:dyDescent="0.15">
      <c r="B444" s="69"/>
      <c r="C444" s="69"/>
      <c r="D444" s="69"/>
      <c r="E444" s="69"/>
      <c r="F444" s="69"/>
      <c r="G444" s="69"/>
    </row>
    <row r="445" spans="2:7" x14ac:dyDescent="0.15">
      <c r="B445" s="69"/>
      <c r="C445" s="69"/>
      <c r="D445" s="69"/>
      <c r="E445" s="69"/>
      <c r="F445" s="69"/>
      <c r="G445" s="69"/>
    </row>
    <row r="446" spans="2:7" x14ac:dyDescent="0.15">
      <c r="B446" s="69"/>
      <c r="C446" s="69"/>
      <c r="D446" s="69"/>
      <c r="E446" s="69"/>
      <c r="F446" s="69"/>
      <c r="G446" s="69"/>
    </row>
    <row r="447" spans="2:7" x14ac:dyDescent="0.15">
      <c r="B447" s="69"/>
      <c r="C447" s="69"/>
      <c r="D447" s="69"/>
      <c r="E447" s="69"/>
      <c r="F447" s="69"/>
      <c r="G447" s="69"/>
    </row>
  </sheetData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Liu Yao</cp:lastModifiedBy>
  <dcterms:created xsi:type="dcterms:W3CDTF">2011-06-30T00:09:01Z</dcterms:created>
  <dcterms:modified xsi:type="dcterms:W3CDTF">2022-02-19T12:28:49Z</dcterms:modified>
</cp:coreProperties>
</file>